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b971bd4087d3faf/Documents/"/>
    </mc:Choice>
  </mc:AlternateContent>
  <xr:revisionPtr revIDLastSave="544" documentId="8_{7F5299CB-CBF9-4215-BB38-A3BEA3D87F08}" xr6:coauthVersionLast="47" xr6:coauthVersionMax="47" xr10:uidLastSave="{E34EEEE8-C631-4751-A6F9-BE16719E6A50}"/>
  <bookViews>
    <workbookView xWindow="-110" yWindow="-110" windowWidth="19420" windowHeight="10300" activeTab="3" xr2:uid="{A3F029D3-1685-428A-B06B-68F6E93A79F5}"/>
  </bookViews>
  <sheets>
    <sheet name="student_screen_time_raw" sheetId="1" r:id="rId1"/>
    <sheet name="Pivot " sheetId="3" r:id="rId2"/>
    <sheet name="Dashboard" sheetId="2" r:id="rId3"/>
    <sheet name="Insights" sheetId="4" r:id="rId4"/>
  </sheets>
  <definedNames>
    <definedName name="_xlnm._FilterDatabase" localSheetId="0" hidden="1">student_screen_time_raw!$L$1:$L$206</definedName>
  </definedNames>
  <calcPr calcId="0"/>
  <pivotCaches>
    <pivotCache cacheId="6" r:id="rId5"/>
    <pivotCache cacheId="11" r:id="rId6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6" i="1"/>
  <c r="M57" i="1"/>
  <c r="M58" i="1"/>
  <c r="M59" i="1"/>
  <c r="M60" i="1"/>
  <c r="M61" i="1"/>
  <c r="M62" i="1"/>
  <c r="M63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" i="1"/>
  <c r="L3" i="1"/>
  <c r="L4" i="1"/>
  <c r="L5" i="1"/>
  <c r="L6" i="1"/>
  <c r="L7" i="1"/>
  <c r="L8" i="1"/>
  <c r="L9" i="1"/>
  <c r="L10" i="1"/>
  <c r="L11" i="1"/>
  <c r="L12" i="1"/>
  <c r="L13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0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6" i="1"/>
  <c r="L57" i="1"/>
  <c r="L58" i="1"/>
  <c r="L60" i="1"/>
  <c r="L61" i="1"/>
  <c r="L62" i="1"/>
  <c r="L63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3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" i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" i="1"/>
  <c r="I3" i="1"/>
  <c r="I4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40" i="1"/>
  <c r="I4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60" i="1"/>
  <c r="I61" i="1"/>
  <c r="I62" i="1"/>
  <c r="I63" i="1"/>
  <c r="I64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7" i="1"/>
  <c r="I138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0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60" i="1"/>
  <c r="H61" i="1"/>
  <c r="H62" i="1"/>
  <c r="H63" i="1"/>
  <c r="H64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" i="1"/>
  <c r="G3" i="1"/>
  <c r="G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6" i="1"/>
  <c r="G57" i="1"/>
  <c r="G58" i="1"/>
  <c r="G59" i="1"/>
  <c r="G60" i="1"/>
  <c r="G61" i="1"/>
  <c r="G62" i="1"/>
  <c r="G63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" i="1"/>
  <c r="I41" i="1"/>
  <c r="L41" i="1"/>
  <c r="E41" i="1"/>
  <c r="H41" i="1"/>
  <c r="J136" i="1"/>
  <c r="C136" i="1"/>
  <c r="I136" i="1"/>
  <c r="J20" i="1"/>
  <c r="C20" i="1"/>
  <c r="I20" i="1"/>
  <c r="I65" i="1"/>
  <c r="H65" i="1"/>
  <c r="E65" i="1"/>
  <c r="L65" i="1"/>
  <c r="L174" i="1"/>
  <c r="I174" i="1"/>
  <c r="E174" i="1"/>
  <c r="H174" i="1"/>
  <c r="L64" i="1"/>
  <c r="M64" i="1"/>
  <c r="D64" i="1"/>
  <c r="G64" i="1"/>
  <c r="L39" i="1"/>
  <c r="I39" i="1"/>
  <c r="H39" i="1"/>
  <c r="L113" i="1"/>
  <c r="G113" i="1"/>
  <c r="D113" i="1"/>
  <c r="M113" i="1"/>
  <c r="I59" i="1"/>
  <c r="H59" i="1"/>
  <c r="E39" i="1"/>
  <c r="E59" i="1"/>
  <c r="L59" i="1"/>
  <c r="J105" i="1"/>
  <c r="C105" i="1"/>
  <c r="I105" i="1"/>
  <c r="M55" i="1"/>
  <c r="L55" i="1"/>
  <c r="D55" i="1"/>
  <c r="G55" i="1"/>
  <c r="J6" i="1"/>
  <c r="C6" i="1"/>
  <c r="I6" i="1"/>
  <c r="L187" i="1"/>
  <c r="M187" i="1"/>
  <c r="D187" i="1"/>
  <c r="G187" i="1"/>
  <c r="L139" i="1"/>
  <c r="I139" i="1"/>
  <c r="E139" i="1"/>
  <c r="H139" i="1"/>
  <c r="L172" i="1"/>
  <c r="G172" i="1"/>
  <c r="D172" i="1"/>
  <c r="M172" i="1"/>
  <c r="I91" i="1"/>
  <c r="C91" i="1"/>
  <c r="J91" i="1"/>
  <c r="J43" i="1"/>
  <c r="C43" i="1"/>
  <c r="I43" i="1"/>
  <c r="L14" i="1"/>
  <c r="G14" i="1"/>
  <c r="D14" i="1"/>
  <c r="M14" i="1"/>
</calcChain>
</file>

<file path=xl/sharedStrings.xml><?xml version="1.0" encoding="utf-8"?>
<sst xmlns="http://schemas.openxmlformats.org/spreadsheetml/2006/main" count="47" uniqueCount="37">
  <si>
    <t>Student_ID</t>
  </si>
  <si>
    <t>Age</t>
  </si>
  <si>
    <t>Study_Hours</t>
  </si>
  <si>
    <t>Screen_Time</t>
  </si>
  <si>
    <t>Test_Scores</t>
  </si>
  <si>
    <t>Extra_Curricular_Hours</t>
  </si>
  <si>
    <t>Screen time category</t>
  </si>
  <si>
    <t>Performance_Level</t>
  </si>
  <si>
    <t>Study Efficiency</t>
  </si>
  <si>
    <t>Activity Balance</t>
  </si>
  <si>
    <t>Age Group</t>
  </si>
  <si>
    <t>High Risk Student</t>
  </si>
  <si>
    <t>Row Labels</t>
  </si>
  <si>
    <t>High screen time</t>
  </si>
  <si>
    <t>Low screen time</t>
  </si>
  <si>
    <t>Grand Total</t>
  </si>
  <si>
    <t>Average of Test_Scores</t>
  </si>
  <si>
    <t>Average of Extra_Curricular_Hours</t>
  </si>
  <si>
    <t>Older Student</t>
  </si>
  <si>
    <t>Teen</t>
  </si>
  <si>
    <t>Study Hours Avg</t>
  </si>
  <si>
    <t>Test Scores Average</t>
  </si>
  <si>
    <t>Screen time Average</t>
  </si>
  <si>
    <t>High screen time is associated with lower academic performance</t>
  </si>
  <si>
    <t>Increased extracurricular activity correlates with better test scores</t>
  </si>
  <si>
    <t>Balanced screen usage leads to improved student outcomes</t>
  </si>
  <si>
    <t>Students with high screen time scored approximately 10–15% lower than others.</t>
  </si>
  <si>
    <t>On average, students with high screen time scored significantly lower than those with low screen time, highlighting the need to limit screen exposure for better academic outcomes.</t>
  </si>
  <si>
    <t>Impact of Screen Time on Student Performance</t>
  </si>
  <si>
    <t>Average Test Score</t>
  </si>
  <si>
    <t>Average Screen Time</t>
  </si>
  <si>
    <t>Average Study Hours</t>
  </si>
  <si>
    <t>Screen time Range</t>
  </si>
  <si>
    <t>2-4 hrs</t>
  </si>
  <si>
    <t>6+ hrs</t>
  </si>
  <si>
    <t>4-6 hrs</t>
  </si>
  <si>
    <t>0-2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</si>
</sst>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70" fontId="0" fillId="0" borderId="0" xfId="0" applyNumberFormat="1"/>
    <xf numFmtId="170" fontId="0" fillId="33" borderId="0" xfId="0" applyNumberFormat="1" applyFont="1" applyFill="1"/>
    <xf numFmtId="170" fontId="0" fillId="33" borderId="0" xfId="0" applyNumberFormat="1" applyFill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4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170" fontId="0" fillId="36" borderId="0" xfId="0" applyNumberForma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0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[day2_student_screen_time.xlsx]Pivot 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'!$A$10:$A$12</c:f>
              <c:strCache>
                <c:ptCount val="2"/>
                <c:pt idx="0">
                  <c:v>High screen time</c:v>
                </c:pt>
                <c:pt idx="1">
                  <c:v>Low screen time</c:v>
                </c:pt>
              </c:strCache>
            </c:strRef>
          </c:cat>
          <c:val>
            <c:numRef>
              <c:f>'Pivot '!$B$10:$B$12</c:f>
              <c:numCache>
                <c:formatCode>General</c:formatCode>
                <c:ptCount val="2"/>
                <c:pt idx="0">
                  <c:v>1.6323529411764708</c:v>
                </c:pt>
                <c:pt idx="1">
                  <c:v>1.4300970873786412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4-44DA-9E49-4FC01E1BC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591375"/>
        <c:axId val="1351591855"/>
      </c:barChart>
      <c:catAx>
        <c:axId val="135159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91855"/>
        <c:crosses val="autoZero"/>
        <c:auto val="1"/>
        <c:lblAlgn val="ctr"/>
        <c:lblOffset val="100"/>
        <c:noMultiLvlLbl val="0"/>
      </c:catAx>
      <c:valAx>
        <c:axId val="13515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9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[day2_student_screen_time.xlsx]Pivot 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rgbClr val="FF0000"/>
                </a:solidFill>
              </a:rPr>
              <a:t>Avg</a:t>
            </a:r>
            <a:r>
              <a:rPr lang="en-US" sz="1000" baseline="0">
                <a:solidFill>
                  <a:srgbClr val="FF0000"/>
                </a:solidFill>
              </a:rPr>
              <a:t> test score by screen time</a:t>
            </a:r>
            <a:endParaRPr lang="en-US" sz="1000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'Pivot '!$A$4:$A$6</c:f>
              <c:strCache>
                <c:ptCount val="2"/>
                <c:pt idx="0">
                  <c:v>High screen time</c:v>
                </c:pt>
                <c:pt idx="1">
                  <c:v>Low screen time</c:v>
                </c:pt>
              </c:strCache>
            </c:strRef>
          </c:cat>
          <c:val>
            <c:numRef>
              <c:f>'Pivot '!$B$4:$B$6</c:f>
              <c:numCache>
                <c:formatCode>General</c:formatCode>
                <c:ptCount val="2"/>
                <c:pt idx="0">
                  <c:v>72.425504975859724</c:v>
                </c:pt>
                <c:pt idx="1">
                  <c:v>69.291291408498765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D-4E7A-9A01-106879E1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62576479"/>
        <c:axId val="1063538400"/>
      </c:barChart>
      <c:catAx>
        <c:axId val="136257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38400"/>
        <c:crosses val="autoZero"/>
        <c:auto val="1"/>
        <c:lblAlgn val="ctr"/>
        <c:lblOffset val="100"/>
        <c:noMultiLvlLbl val="0"/>
      </c:catAx>
      <c:valAx>
        <c:axId val="106353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7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Screen time</a:t>
            </a:r>
            <a:r>
              <a:rPr lang="en-US" baseline="0">
                <a:solidFill>
                  <a:srgbClr val="FF0000"/>
                </a:solidFill>
              </a:rPr>
              <a:t> vs </a:t>
            </a:r>
            <a:r>
              <a:rPr lang="en-US">
                <a:solidFill>
                  <a:srgbClr val="FF0000"/>
                </a:solidFill>
              </a:rPr>
              <a:t>Test_Scores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student_screen_time_raw!$E$1</c:f>
              <c:strCache>
                <c:ptCount val="1"/>
                <c:pt idx="0">
                  <c:v>Test_Scores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student_screen_time_raw!$D$2:$D$206</c:f>
              <c:numCache>
                <c:formatCode>General</c:formatCode>
                <c:ptCount val="205"/>
                <c:pt idx="0">
                  <c:v>2.7</c:v>
                </c:pt>
                <c:pt idx="1">
                  <c:v>4</c:v>
                </c:pt>
                <c:pt idx="2">
                  <c:v>4.3</c:v>
                </c:pt>
                <c:pt idx="3">
                  <c:v>2.8</c:v>
                </c:pt>
                <c:pt idx="4">
                  <c:v>1.8</c:v>
                </c:pt>
                <c:pt idx="5">
                  <c:v>4.4000000000000004</c:v>
                </c:pt>
                <c:pt idx="6">
                  <c:v>6.7</c:v>
                </c:pt>
                <c:pt idx="7">
                  <c:v>4.5999999999999996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3.6</c:v>
                </c:pt>
                <c:pt idx="11">
                  <c:v>5.8</c:v>
                </c:pt>
                <c:pt idx="12" formatCode="0.0">
                  <c:v>4.013065326633166</c:v>
                </c:pt>
                <c:pt idx="13">
                  <c:v>2</c:v>
                </c:pt>
                <c:pt idx="14">
                  <c:v>1.6</c:v>
                </c:pt>
                <c:pt idx="15">
                  <c:v>4.0999999999999996</c:v>
                </c:pt>
                <c:pt idx="16">
                  <c:v>5.6</c:v>
                </c:pt>
                <c:pt idx="17">
                  <c:v>4.4000000000000004</c:v>
                </c:pt>
                <c:pt idx="18">
                  <c:v>3.5</c:v>
                </c:pt>
                <c:pt idx="19">
                  <c:v>4.7</c:v>
                </c:pt>
                <c:pt idx="20">
                  <c:v>4.3</c:v>
                </c:pt>
                <c:pt idx="21">
                  <c:v>5.2</c:v>
                </c:pt>
                <c:pt idx="22">
                  <c:v>6</c:v>
                </c:pt>
                <c:pt idx="23">
                  <c:v>2.6</c:v>
                </c:pt>
                <c:pt idx="24">
                  <c:v>0.5</c:v>
                </c:pt>
                <c:pt idx="25">
                  <c:v>3.5</c:v>
                </c:pt>
                <c:pt idx="26">
                  <c:v>2.5</c:v>
                </c:pt>
                <c:pt idx="27">
                  <c:v>5.2</c:v>
                </c:pt>
                <c:pt idx="28">
                  <c:v>2.9</c:v>
                </c:pt>
                <c:pt idx="29">
                  <c:v>1.2</c:v>
                </c:pt>
                <c:pt idx="30">
                  <c:v>3.1</c:v>
                </c:pt>
                <c:pt idx="31">
                  <c:v>1.8</c:v>
                </c:pt>
                <c:pt idx="32">
                  <c:v>6.4</c:v>
                </c:pt>
                <c:pt idx="33">
                  <c:v>4.7</c:v>
                </c:pt>
                <c:pt idx="34">
                  <c:v>5</c:v>
                </c:pt>
                <c:pt idx="35">
                  <c:v>4.8</c:v>
                </c:pt>
                <c:pt idx="36">
                  <c:v>5.3</c:v>
                </c:pt>
                <c:pt idx="37">
                  <c:v>5.7</c:v>
                </c:pt>
                <c:pt idx="38">
                  <c:v>3.2</c:v>
                </c:pt>
                <c:pt idx="39">
                  <c:v>1.9</c:v>
                </c:pt>
                <c:pt idx="40">
                  <c:v>2.7</c:v>
                </c:pt>
                <c:pt idx="41">
                  <c:v>3.9</c:v>
                </c:pt>
                <c:pt idx="42">
                  <c:v>0.2</c:v>
                </c:pt>
                <c:pt idx="43">
                  <c:v>5.7</c:v>
                </c:pt>
                <c:pt idx="44">
                  <c:v>1.2</c:v>
                </c:pt>
                <c:pt idx="45">
                  <c:v>4.9000000000000004</c:v>
                </c:pt>
                <c:pt idx="46">
                  <c:v>3.7</c:v>
                </c:pt>
                <c:pt idx="47">
                  <c:v>4.4000000000000004</c:v>
                </c:pt>
                <c:pt idx="48">
                  <c:v>3.3</c:v>
                </c:pt>
                <c:pt idx="49">
                  <c:v>4.3</c:v>
                </c:pt>
                <c:pt idx="50">
                  <c:v>3.3</c:v>
                </c:pt>
                <c:pt idx="51">
                  <c:v>3.2</c:v>
                </c:pt>
                <c:pt idx="52">
                  <c:v>2.7</c:v>
                </c:pt>
                <c:pt idx="53" formatCode="0.0">
                  <c:v>4.013065326633166</c:v>
                </c:pt>
                <c:pt idx="54">
                  <c:v>4.5999999999999996</c:v>
                </c:pt>
                <c:pt idx="55">
                  <c:v>4.3</c:v>
                </c:pt>
                <c:pt idx="56">
                  <c:v>2.7</c:v>
                </c:pt>
                <c:pt idx="57">
                  <c:v>3.6</c:v>
                </c:pt>
                <c:pt idx="58">
                  <c:v>2.5</c:v>
                </c:pt>
                <c:pt idx="59">
                  <c:v>3.3</c:v>
                </c:pt>
                <c:pt idx="60">
                  <c:v>2.2000000000000002</c:v>
                </c:pt>
                <c:pt idx="61">
                  <c:v>6.4</c:v>
                </c:pt>
                <c:pt idx="62" formatCode="0.0">
                  <c:v>4.013065326633166</c:v>
                </c:pt>
                <c:pt idx="63">
                  <c:v>2.7</c:v>
                </c:pt>
                <c:pt idx="64">
                  <c:v>2</c:v>
                </c:pt>
                <c:pt idx="65">
                  <c:v>2.8</c:v>
                </c:pt>
                <c:pt idx="66">
                  <c:v>3.3</c:v>
                </c:pt>
                <c:pt idx="67">
                  <c:v>3.9</c:v>
                </c:pt>
                <c:pt idx="68">
                  <c:v>3</c:v>
                </c:pt>
                <c:pt idx="69">
                  <c:v>1.6</c:v>
                </c:pt>
                <c:pt idx="70">
                  <c:v>1.7</c:v>
                </c:pt>
                <c:pt idx="71">
                  <c:v>5</c:v>
                </c:pt>
                <c:pt idx="72">
                  <c:v>3.8</c:v>
                </c:pt>
                <c:pt idx="73">
                  <c:v>5</c:v>
                </c:pt>
                <c:pt idx="74">
                  <c:v>5.2</c:v>
                </c:pt>
                <c:pt idx="75">
                  <c:v>4.2</c:v>
                </c:pt>
                <c:pt idx="76">
                  <c:v>2.2000000000000002</c:v>
                </c:pt>
                <c:pt idx="77">
                  <c:v>4.3</c:v>
                </c:pt>
                <c:pt idx="78">
                  <c:v>6.1</c:v>
                </c:pt>
                <c:pt idx="79">
                  <c:v>3.3</c:v>
                </c:pt>
                <c:pt idx="80">
                  <c:v>4.5</c:v>
                </c:pt>
                <c:pt idx="81">
                  <c:v>4</c:v>
                </c:pt>
                <c:pt idx="82">
                  <c:v>6.1</c:v>
                </c:pt>
                <c:pt idx="83">
                  <c:v>3</c:v>
                </c:pt>
                <c:pt idx="84">
                  <c:v>5.7</c:v>
                </c:pt>
                <c:pt idx="85">
                  <c:v>3.4</c:v>
                </c:pt>
                <c:pt idx="86">
                  <c:v>3</c:v>
                </c:pt>
                <c:pt idx="87">
                  <c:v>4.2</c:v>
                </c:pt>
                <c:pt idx="88">
                  <c:v>4.5</c:v>
                </c:pt>
                <c:pt idx="89">
                  <c:v>6.9</c:v>
                </c:pt>
                <c:pt idx="90">
                  <c:v>4.5</c:v>
                </c:pt>
                <c:pt idx="91">
                  <c:v>4.3</c:v>
                </c:pt>
                <c:pt idx="92">
                  <c:v>6.4</c:v>
                </c:pt>
                <c:pt idx="93">
                  <c:v>4.9000000000000004</c:v>
                </c:pt>
                <c:pt idx="94">
                  <c:v>3</c:v>
                </c:pt>
                <c:pt idx="95">
                  <c:v>6</c:v>
                </c:pt>
                <c:pt idx="96">
                  <c:v>2.9</c:v>
                </c:pt>
                <c:pt idx="97">
                  <c:v>3</c:v>
                </c:pt>
                <c:pt idx="98">
                  <c:v>2.7</c:v>
                </c:pt>
                <c:pt idx="99">
                  <c:v>2.6</c:v>
                </c:pt>
                <c:pt idx="100">
                  <c:v>4.5</c:v>
                </c:pt>
                <c:pt idx="101">
                  <c:v>3.6</c:v>
                </c:pt>
                <c:pt idx="102">
                  <c:v>0</c:v>
                </c:pt>
                <c:pt idx="103">
                  <c:v>3.6</c:v>
                </c:pt>
                <c:pt idx="104">
                  <c:v>3.2</c:v>
                </c:pt>
                <c:pt idx="105">
                  <c:v>5.3</c:v>
                </c:pt>
                <c:pt idx="106">
                  <c:v>3.2</c:v>
                </c:pt>
                <c:pt idx="107">
                  <c:v>7.8</c:v>
                </c:pt>
                <c:pt idx="108">
                  <c:v>6.1</c:v>
                </c:pt>
                <c:pt idx="109">
                  <c:v>3.4</c:v>
                </c:pt>
                <c:pt idx="110">
                  <c:v>5.7</c:v>
                </c:pt>
                <c:pt idx="111" formatCode="0.0">
                  <c:v>4.013065326633166</c:v>
                </c:pt>
                <c:pt idx="112">
                  <c:v>4.4000000000000004</c:v>
                </c:pt>
                <c:pt idx="113">
                  <c:v>5.2</c:v>
                </c:pt>
                <c:pt idx="114">
                  <c:v>4.0999999999999996</c:v>
                </c:pt>
                <c:pt idx="115">
                  <c:v>4.4000000000000004</c:v>
                </c:pt>
                <c:pt idx="116">
                  <c:v>5.2</c:v>
                </c:pt>
                <c:pt idx="117">
                  <c:v>7.1</c:v>
                </c:pt>
                <c:pt idx="118">
                  <c:v>4.4000000000000004</c:v>
                </c:pt>
                <c:pt idx="119">
                  <c:v>3.3</c:v>
                </c:pt>
                <c:pt idx="120">
                  <c:v>1</c:v>
                </c:pt>
                <c:pt idx="121">
                  <c:v>6.9</c:v>
                </c:pt>
                <c:pt idx="122">
                  <c:v>3.6</c:v>
                </c:pt>
                <c:pt idx="123">
                  <c:v>4.8</c:v>
                </c:pt>
                <c:pt idx="124">
                  <c:v>6.9</c:v>
                </c:pt>
                <c:pt idx="125">
                  <c:v>4.3</c:v>
                </c:pt>
                <c:pt idx="126">
                  <c:v>3.7</c:v>
                </c:pt>
                <c:pt idx="127">
                  <c:v>6.1</c:v>
                </c:pt>
                <c:pt idx="128">
                  <c:v>4.7</c:v>
                </c:pt>
                <c:pt idx="129">
                  <c:v>4.9000000000000004</c:v>
                </c:pt>
                <c:pt idx="130">
                  <c:v>1.7</c:v>
                </c:pt>
                <c:pt idx="131">
                  <c:v>5.8</c:v>
                </c:pt>
                <c:pt idx="132">
                  <c:v>4.5999999999999996</c:v>
                </c:pt>
                <c:pt idx="133">
                  <c:v>1.9</c:v>
                </c:pt>
                <c:pt idx="134">
                  <c:v>4.7</c:v>
                </c:pt>
                <c:pt idx="135">
                  <c:v>0.9</c:v>
                </c:pt>
                <c:pt idx="136">
                  <c:v>7.5</c:v>
                </c:pt>
                <c:pt idx="137">
                  <c:v>2.2999999999999998</c:v>
                </c:pt>
                <c:pt idx="138">
                  <c:v>6.4</c:v>
                </c:pt>
                <c:pt idx="139">
                  <c:v>2.8</c:v>
                </c:pt>
                <c:pt idx="140">
                  <c:v>4.8</c:v>
                </c:pt>
                <c:pt idx="141">
                  <c:v>2.6</c:v>
                </c:pt>
                <c:pt idx="142">
                  <c:v>5.5</c:v>
                </c:pt>
                <c:pt idx="143">
                  <c:v>3.6</c:v>
                </c:pt>
                <c:pt idx="144">
                  <c:v>4.7</c:v>
                </c:pt>
                <c:pt idx="145">
                  <c:v>4</c:v>
                </c:pt>
                <c:pt idx="146">
                  <c:v>2</c:v>
                </c:pt>
                <c:pt idx="147">
                  <c:v>4.8</c:v>
                </c:pt>
                <c:pt idx="148">
                  <c:v>3.2</c:v>
                </c:pt>
                <c:pt idx="149">
                  <c:v>5.6</c:v>
                </c:pt>
                <c:pt idx="150">
                  <c:v>3.6</c:v>
                </c:pt>
                <c:pt idx="151">
                  <c:v>3.9</c:v>
                </c:pt>
                <c:pt idx="152">
                  <c:v>6.5</c:v>
                </c:pt>
                <c:pt idx="153">
                  <c:v>7.6</c:v>
                </c:pt>
                <c:pt idx="154">
                  <c:v>5.2</c:v>
                </c:pt>
                <c:pt idx="155">
                  <c:v>3.6</c:v>
                </c:pt>
                <c:pt idx="156">
                  <c:v>3.4</c:v>
                </c:pt>
                <c:pt idx="157">
                  <c:v>2.8</c:v>
                </c:pt>
                <c:pt idx="158">
                  <c:v>3.1</c:v>
                </c:pt>
                <c:pt idx="159">
                  <c:v>3.6</c:v>
                </c:pt>
                <c:pt idx="160">
                  <c:v>6.9</c:v>
                </c:pt>
                <c:pt idx="161">
                  <c:v>3.7</c:v>
                </c:pt>
                <c:pt idx="162">
                  <c:v>2.2000000000000002</c:v>
                </c:pt>
                <c:pt idx="163">
                  <c:v>4.0999999999999996</c:v>
                </c:pt>
                <c:pt idx="164">
                  <c:v>4.3</c:v>
                </c:pt>
                <c:pt idx="165">
                  <c:v>4.0999999999999996</c:v>
                </c:pt>
                <c:pt idx="166">
                  <c:v>5.2</c:v>
                </c:pt>
                <c:pt idx="167">
                  <c:v>4.0999999999999996</c:v>
                </c:pt>
                <c:pt idx="168">
                  <c:v>5.2</c:v>
                </c:pt>
                <c:pt idx="169">
                  <c:v>2.8</c:v>
                </c:pt>
                <c:pt idx="170" formatCode="0.0">
                  <c:v>4.013065326633166</c:v>
                </c:pt>
                <c:pt idx="171">
                  <c:v>4.4000000000000004</c:v>
                </c:pt>
                <c:pt idx="172">
                  <c:v>4.5999999999999996</c:v>
                </c:pt>
                <c:pt idx="173">
                  <c:v>2.8</c:v>
                </c:pt>
                <c:pt idx="174">
                  <c:v>4.7</c:v>
                </c:pt>
                <c:pt idx="175">
                  <c:v>5</c:v>
                </c:pt>
                <c:pt idx="176">
                  <c:v>2.2000000000000002</c:v>
                </c:pt>
                <c:pt idx="177">
                  <c:v>1.5</c:v>
                </c:pt>
                <c:pt idx="178">
                  <c:v>4.4000000000000004</c:v>
                </c:pt>
                <c:pt idx="179">
                  <c:v>3.3</c:v>
                </c:pt>
                <c:pt idx="180">
                  <c:v>4.4000000000000004</c:v>
                </c:pt>
                <c:pt idx="181">
                  <c:v>2.1</c:v>
                </c:pt>
                <c:pt idx="182">
                  <c:v>1.7</c:v>
                </c:pt>
                <c:pt idx="183">
                  <c:v>4.3</c:v>
                </c:pt>
                <c:pt idx="184">
                  <c:v>3.5</c:v>
                </c:pt>
                <c:pt idx="185" formatCode="0.0">
                  <c:v>4.013065326633166</c:v>
                </c:pt>
                <c:pt idx="186">
                  <c:v>6</c:v>
                </c:pt>
                <c:pt idx="187">
                  <c:v>2</c:v>
                </c:pt>
                <c:pt idx="188">
                  <c:v>7.9</c:v>
                </c:pt>
                <c:pt idx="189">
                  <c:v>3.1</c:v>
                </c:pt>
                <c:pt idx="190">
                  <c:v>4.5999999999999996</c:v>
                </c:pt>
                <c:pt idx="191">
                  <c:v>6.5</c:v>
                </c:pt>
                <c:pt idx="192">
                  <c:v>6.2</c:v>
                </c:pt>
                <c:pt idx="193">
                  <c:v>7</c:v>
                </c:pt>
                <c:pt idx="194">
                  <c:v>1.7</c:v>
                </c:pt>
                <c:pt idx="195">
                  <c:v>2.2999999999999998</c:v>
                </c:pt>
                <c:pt idx="196">
                  <c:v>4.3</c:v>
                </c:pt>
                <c:pt idx="197">
                  <c:v>5.3</c:v>
                </c:pt>
                <c:pt idx="198">
                  <c:v>4</c:v>
                </c:pt>
                <c:pt idx="199">
                  <c:v>1.5</c:v>
                </c:pt>
                <c:pt idx="200">
                  <c:v>5.8</c:v>
                </c:pt>
                <c:pt idx="201">
                  <c:v>4.9000000000000004</c:v>
                </c:pt>
                <c:pt idx="202">
                  <c:v>4.7</c:v>
                </c:pt>
                <c:pt idx="203">
                  <c:v>2.6</c:v>
                </c:pt>
                <c:pt idx="204">
                  <c:v>3.2</c:v>
                </c:pt>
              </c:numCache>
            </c:numRef>
          </c:xVal>
          <c:yVal>
            <c:numRef>
              <c:f>student_screen_time_raw!$E$2:$E$206</c:f>
              <c:numCache>
                <c:formatCode>General</c:formatCode>
                <c:ptCount val="205"/>
                <c:pt idx="0">
                  <c:v>75</c:v>
                </c:pt>
                <c:pt idx="1">
                  <c:v>68.099999999999994</c:v>
                </c:pt>
                <c:pt idx="2">
                  <c:v>67.900000000000006</c:v>
                </c:pt>
                <c:pt idx="3">
                  <c:v>47.2</c:v>
                </c:pt>
                <c:pt idx="4">
                  <c:v>78</c:v>
                </c:pt>
                <c:pt idx="5">
                  <c:v>71.5</c:v>
                </c:pt>
                <c:pt idx="6">
                  <c:v>88</c:v>
                </c:pt>
                <c:pt idx="7">
                  <c:v>69.3</c:v>
                </c:pt>
                <c:pt idx="8">
                  <c:v>75.7</c:v>
                </c:pt>
                <c:pt idx="9">
                  <c:v>78.3</c:v>
                </c:pt>
                <c:pt idx="10">
                  <c:v>52.5</c:v>
                </c:pt>
                <c:pt idx="11">
                  <c:v>96.2</c:v>
                </c:pt>
                <c:pt idx="12">
                  <c:v>65.7</c:v>
                </c:pt>
                <c:pt idx="13">
                  <c:v>74.900000000000006</c:v>
                </c:pt>
                <c:pt idx="14">
                  <c:v>76.400000000000006</c:v>
                </c:pt>
                <c:pt idx="15">
                  <c:v>61.9</c:v>
                </c:pt>
                <c:pt idx="16">
                  <c:v>88.5</c:v>
                </c:pt>
                <c:pt idx="17">
                  <c:v>72.7</c:v>
                </c:pt>
                <c:pt idx="18">
                  <c:v>67.900000000000006</c:v>
                </c:pt>
                <c:pt idx="19">
                  <c:v>71.400000000000006</c:v>
                </c:pt>
                <c:pt idx="20">
                  <c:v>77.599999999999994</c:v>
                </c:pt>
                <c:pt idx="21">
                  <c:v>70.099999999999994</c:v>
                </c:pt>
                <c:pt idx="22">
                  <c:v>78.8</c:v>
                </c:pt>
                <c:pt idx="23">
                  <c:v>53.2</c:v>
                </c:pt>
                <c:pt idx="24">
                  <c:v>62.5</c:v>
                </c:pt>
                <c:pt idx="25">
                  <c:v>48.6</c:v>
                </c:pt>
                <c:pt idx="26">
                  <c:v>90</c:v>
                </c:pt>
                <c:pt idx="27">
                  <c:v>89.8</c:v>
                </c:pt>
                <c:pt idx="28">
                  <c:v>76.3</c:v>
                </c:pt>
                <c:pt idx="29">
                  <c:v>59.9</c:v>
                </c:pt>
                <c:pt idx="30">
                  <c:v>93.9</c:v>
                </c:pt>
                <c:pt idx="31">
                  <c:v>64</c:v>
                </c:pt>
                <c:pt idx="32">
                  <c:v>67.900000000000006</c:v>
                </c:pt>
                <c:pt idx="33">
                  <c:v>71.599999999999994</c:v>
                </c:pt>
                <c:pt idx="34">
                  <c:v>74.5</c:v>
                </c:pt>
                <c:pt idx="35">
                  <c:v>76.400000000000006</c:v>
                </c:pt>
                <c:pt idx="36">
                  <c:v>76.8</c:v>
                </c:pt>
                <c:pt idx="37" formatCode="0.0">
                  <c:v>70.850753768844243</c:v>
                </c:pt>
                <c:pt idx="38">
                  <c:v>76.7</c:v>
                </c:pt>
                <c:pt idx="39" formatCode="0.0">
                  <c:v>70.850753768844243</c:v>
                </c:pt>
                <c:pt idx="40">
                  <c:v>75.8</c:v>
                </c:pt>
                <c:pt idx="41">
                  <c:v>75</c:v>
                </c:pt>
                <c:pt idx="42">
                  <c:v>77.599999999999994</c:v>
                </c:pt>
                <c:pt idx="43">
                  <c:v>76.400000000000006</c:v>
                </c:pt>
                <c:pt idx="44">
                  <c:v>65.599999999999994</c:v>
                </c:pt>
                <c:pt idx="45">
                  <c:v>74.599999999999994</c:v>
                </c:pt>
                <c:pt idx="46">
                  <c:v>76.5</c:v>
                </c:pt>
                <c:pt idx="47">
                  <c:v>57.1</c:v>
                </c:pt>
                <c:pt idx="48">
                  <c:v>67.3</c:v>
                </c:pt>
                <c:pt idx="49">
                  <c:v>76.099999999999994</c:v>
                </c:pt>
                <c:pt idx="50">
                  <c:v>87.1</c:v>
                </c:pt>
                <c:pt idx="51">
                  <c:v>78.2</c:v>
                </c:pt>
                <c:pt idx="52">
                  <c:v>87.7</c:v>
                </c:pt>
                <c:pt idx="53">
                  <c:v>66</c:v>
                </c:pt>
                <c:pt idx="54">
                  <c:v>72.5</c:v>
                </c:pt>
                <c:pt idx="55">
                  <c:v>78.099999999999994</c:v>
                </c:pt>
                <c:pt idx="56">
                  <c:v>46.7</c:v>
                </c:pt>
                <c:pt idx="57" formatCode="0.0">
                  <c:v>70.850753768844243</c:v>
                </c:pt>
                <c:pt idx="58">
                  <c:v>51.4</c:v>
                </c:pt>
                <c:pt idx="59">
                  <c:v>80</c:v>
                </c:pt>
                <c:pt idx="60">
                  <c:v>76.900000000000006</c:v>
                </c:pt>
                <c:pt idx="61">
                  <c:v>46.6</c:v>
                </c:pt>
                <c:pt idx="62">
                  <c:v>47.1</c:v>
                </c:pt>
                <c:pt idx="63" formatCode="0.0">
                  <c:v>70.850753768844243</c:v>
                </c:pt>
                <c:pt idx="64">
                  <c:v>82.1</c:v>
                </c:pt>
                <c:pt idx="65">
                  <c:v>61.2</c:v>
                </c:pt>
                <c:pt idx="66">
                  <c:v>61.2</c:v>
                </c:pt>
                <c:pt idx="67">
                  <c:v>75.099999999999994</c:v>
                </c:pt>
                <c:pt idx="68">
                  <c:v>69.900000000000006</c:v>
                </c:pt>
                <c:pt idx="69">
                  <c:v>80.5</c:v>
                </c:pt>
                <c:pt idx="70">
                  <c:v>74.8</c:v>
                </c:pt>
                <c:pt idx="71">
                  <c:v>85.8</c:v>
                </c:pt>
                <c:pt idx="72">
                  <c:v>79.7</c:v>
                </c:pt>
                <c:pt idx="73">
                  <c:v>77.2</c:v>
                </c:pt>
                <c:pt idx="74">
                  <c:v>66.5</c:v>
                </c:pt>
                <c:pt idx="75">
                  <c:v>65.7</c:v>
                </c:pt>
                <c:pt idx="76">
                  <c:v>69.5</c:v>
                </c:pt>
                <c:pt idx="77">
                  <c:v>88.4</c:v>
                </c:pt>
                <c:pt idx="78">
                  <c:v>65.900000000000006</c:v>
                </c:pt>
                <c:pt idx="79">
                  <c:v>72.599999999999994</c:v>
                </c:pt>
                <c:pt idx="80">
                  <c:v>47.6</c:v>
                </c:pt>
                <c:pt idx="81">
                  <c:v>76.8</c:v>
                </c:pt>
                <c:pt idx="82">
                  <c:v>92.6</c:v>
                </c:pt>
                <c:pt idx="83">
                  <c:v>60.7</c:v>
                </c:pt>
                <c:pt idx="84">
                  <c:v>100</c:v>
                </c:pt>
                <c:pt idx="85">
                  <c:v>71.8</c:v>
                </c:pt>
                <c:pt idx="86">
                  <c:v>44.3</c:v>
                </c:pt>
                <c:pt idx="87">
                  <c:v>66.099999999999994</c:v>
                </c:pt>
                <c:pt idx="88">
                  <c:v>83.3</c:v>
                </c:pt>
                <c:pt idx="89">
                  <c:v>90</c:v>
                </c:pt>
                <c:pt idx="90">
                  <c:v>77.2</c:v>
                </c:pt>
                <c:pt idx="91">
                  <c:v>85.7</c:v>
                </c:pt>
                <c:pt idx="92">
                  <c:v>58.2</c:v>
                </c:pt>
                <c:pt idx="93">
                  <c:v>63.2</c:v>
                </c:pt>
                <c:pt idx="94">
                  <c:v>53.2</c:v>
                </c:pt>
                <c:pt idx="95">
                  <c:v>63.9</c:v>
                </c:pt>
                <c:pt idx="96">
                  <c:v>77.599999999999994</c:v>
                </c:pt>
                <c:pt idx="97">
                  <c:v>72.099999999999994</c:v>
                </c:pt>
                <c:pt idx="98">
                  <c:v>78.7</c:v>
                </c:pt>
                <c:pt idx="99">
                  <c:v>60.6</c:v>
                </c:pt>
                <c:pt idx="100">
                  <c:v>61.2</c:v>
                </c:pt>
                <c:pt idx="101">
                  <c:v>72</c:v>
                </c:pt>
                <c:pt idx="102">
                  <c:v>64</c:v>
                </c:pt>
                <c:pt idx="103">
                  <c:v>83</c:v>
                </c:pt>
                <c:pt idx="104">
                  <c:v>63.7</c:v>
                </c:pt>
                <c:pt idx="105">
                  <c:v>65</c:v>
                </c:pt>
                <c:pt idx="106">
                  <c:v>74.2</c:v>
                </c:pt>
                <c:pt idx="107">
                  <c:v>66.099999999999994</c:v>
                </c:pt>
                <c:pt idx="108">
                  <c:v>57.7</c:v>
                </c:pt>
                <c:pt idx="109">
                  <c:v>59</c:v>
                </c:pt>
                <c:pt idx="110">
                  <c:v>75.400000000000006</c:v>
                </c:pt>
                <c:pt idx="111">
                  <c:v>56.4</c:v>
                </c:pt>
                <c:pt idx="112">
                  <c:v>84</c:v>
                </c:pt>
                <c:pt idx="113">
                  <c:v>63.1</c:v>
                </c:pt>
                <c:pt idx="114">
                  <c:v>76.2</c:v>
                </c:pt>
                <c:pt idx="115">
                  <c:v>63.7</c:v>
                </c:pt>
                <c:pt idx="116">
                  <c:v>60.8</c:v>
                </c:pt>
                <c:pt idx="117">
                  <c:v>72.5</c:v>
                </c:pt>
                <c:pt idx="118">
                  <c:v>80.5</c:v>
                </c:pt>
                <c:pt idx="119">
                  <c:v>67.5</c:v>
                </c:pt>
                <c:pt idx="120">
                  <c:v>69.3</c:v>
                </c:pt>
                <c:pt idx="121">
                  <c:v>78.099999999999994</c:v>
                </c:pt>
                <c:pt idx="122">
                  <c:v>78.400000000000006</c:v>
                </c:pt>
                <c:pt idx="123">
                  <c:v>69.599999999999994</c:v>
                </c:pt>
                <c:pt idx="124">
                  <c:v>65.599999999999994</c:v>
                </c:pt>
                <c:pt idx="125">
                  <c:v>70.8</c:v>
                </c:pt>
                <c:pt idx="126">
                  <c:v>68.099999999999994</c:v>
                </c:pt>
                <c:pt idx="127">
                  <c:v>73.099999999999994</c:v>
                </c:pt>
                <c:pt idx="128">
                  <c:v>58.1</c:v>
                </c:pt>
                <c:pt idx="129">
                  <c:v>72.8</c:v>
                </c:pt>
                <c:pt idx="130">
                  <c:v>62.8</c:v>
                </c:pt>
                <c:pt idx="131">
                  <c:v>79.099999999999994</c:v>
                </c:pt>
                <c:pt idx="132">
                  <c:v>63.3</c:v>
                </c:pt>
                <c:pt idx="133">
                  <c:v>63.4</c:v>
                </c:pt>
                <c:pt idx="134">
                  <c:v>74.5</c:v>
                </c:pt>
                <c:pt idx="135">
                  <c:v>70.099999999999994</c:v>
                </c:pt>
                <c:pt idx="136">
                  <c:v>92.8</c:v>
                </c:pt>
                <c:pt idx="137" formatCode="0.0">
                  <c:v>70.850753768844243</c:v>
                </c:pt>
                <c:pt idx="138">
                  <c:v>71.099999999999994</c:v>
                </c:pt>
                <c:pt idx="139">
                  <c:v>81.3</c:v>
                </c:pt>
                <c:pt idx="140">
                  <c:v>64.2</c:v>
                </c:pt>
                <c:pt idx="141">
                  <c:v>60.9</c:v>
                </c:pt>
                <c:pt idx="142">
                  <c:v>61.3</c:v>
                </c:pt>
                <c:pt idx="143">
                  <c:v>53.9</c:v>
                </c:pt>
                <c:pt idx="144">
                  <c:v>83.5</c:v>
                </c:pt>
                <c:pt idx="145">
                  <c:v>66.7</c:v>
                </c:pt>
                <c:pt idx="146">
                  <c:v>65.5</c:v>
                </c:pt>
                <c:pt idx="147">
                  <c:v>48.8</c:v>
                </c:pt>
                <c:pt idx="148">
                  <c:v>55.7</c:v>
                </c:pt>
                <c:pt idx="149">
                  <c:v>84.7</c:v>
                </c:pt>
                <c:pt idx="150">
                  <c:v>73</c:v>
                </c:pt>
                <c:pt idx="151">
                  <c:v>81.7</c:v>
                </c:pt>
                <c:pt idx="152">
                  <c:v>80.400000000000006</c:v>
                </c:pt>
                <c:pt idx="153">
                  <c:v>60</c:v>
                </c:pt>
                <c:pt idx="154">
                  <c:v>94.3</c:v>
                </c:pt>
                <c:pt idx="155">
                  <c:v>89.5</c:v>
                </c:pt>
                <c:pt idx="156">
                  <c:v>64.400000000000006</c:v>
                </c:pt>
                <c:pt idx="157">
                  <c:v>34.299999999999997</c:v>
                </c:pt>
                <c:pt idx="158">
                  <c:v>66.400000000000006</c:v>
                </c:pt>
                <c:pt idx="159">
                  <c:v>72.400000000000006</c:v>
                </c:pt>
                <c:pt idx="160">
                  <c:v>64.3</c:v>
                </c:pt>
                <c:pt idx="161">
                  <c:v>67.8</c:v>
                </c:pt>
                <c:pt idx="162">
                  <c:v>61.7</c:v>
                </c:pt>
                <c:pt idx="163">
                  <c:v>79.2</c:v>
                </c:pt>
                <c:pt idx="164">
                  <c:v>70.599999999999994</c:v>
                </c:pt>
                <c:pt idx="165">
                  <c:v>79.5</c:v>
                </c:pt>
                <c:pt idx="166">
                  <c:v>82.2</c:v>
                </c:pt>
                <c:pt idx="167">
                  <c:v>48.3</c:v>
                </c:pt>
                <c:pt idx="168">
                  <c:v>62.3</c:v>
                </c:pt>
                <c:pt idx="169">
                  <c:v>63.8</c:v>
                </c:pt>
                <c:pt idx="170">
                  <c:v>95.7</c:v>
                </c:pt>
                <c:pt idx="171">
                  <c:v>71.5</c:v>
                </c:pt>
                <c:pt idx="172" formatCode="0.0">
                  <c:v>70.850753768844243</c:v>
                </c:pt>
                <c:pt idx="173">
                  <c:v>51.2</c:v>
                </c:pt>
                <c:pt idx="174">
                  <c:v>71.400000000000006</c:v>
                </c:pt>
                <c:pt idx="175">
                  <c:v>79.8</c:v>
                </c:pt>
                <c:pt idx="176">
                  <c:v>78.599999999999994</c:v>
                </c:pt>
                <c:pt idx="177">
                  <c:v>76.2</c:v>
                </c:pt>
                <c:pt idx="178">
                  <c:v>70.099999999999994</c:v>
                </c:pt>
                <c:pt idx="179">
                  <c:v>70.599999999999994</c:v>
                </c:pt>
                <c:pt idx="180">
                  <c:v>53.1</c:v>
                </c:pt>
                <c:pt idx="181">
                  <c:v>61</c:v>
                </c:pt>
                <c:pt idx="182">
                  <c:v>72.3</c:v>
                </c:pt>
                <c:pt idx="183">
                  <c:v>62.8</c:v>
                </c:pt>
                <c:pt idx="184">
                  <c:v>76.900000000000006</c:v>
                </c:pt>
                <c:pt idx="185">
                  <c:v>74.7</c:v>
                </c:pt>
                <c:pt idx="186">
                  <c:v>83.7</c:v>
                </c:pt>
                <c:pt idx="187">
                  <c:v>79.599999999999994</c:v>
                </c:pt>
                <c:pt idx="188">
                  <c:v>72.3</c:v>
                </c:pt>
                <c:pt idx="189">
                  <c:v>77.5</c:v>
                </c:pt>
                <c:pt idx="190">
                  <c:v>80.099999999999994</c:v>
                </c:pt>
                <c:pt idx="191">
                  <c:v>64.900000000000006</c:v>
                </c:pt>
                <c:pt idx="192">
                  <c:v>66.7</c:v>
                </c:pt>
                <c:pt idx="193">
                  <c:v>69</c:v>
                </c:pt>
                <c:pt idx="194">
                  <c:v>65.2</c:v>
                </c:pt>
                <c:pt idx="195">
                  <c:v>80.2</c:v>
                </c:pt>
                <c:pt idx="196">
                  <c:v>63.7</c:v>
                </c:pt>
                <c:pt idx="197">
                  <c:v>82.5</c:v>
                </c:pt>
                <c:pt idx="198">
                  <c:v>66.3</c:v>
                </c:pt>
                <c:pt idx="199">
                  <c:v>74.7</c:v>
                </c:pt>
                <c:pt idx="200">
                  <c:v>79.099999999999994</c:v>
                </c:pt>
                <c:pt idx="201">
                  <c:v>74.599999999999994</c:v>
                </c:pt>
                <c:pt idx="202">
                  <c:v>58.1</c:v>
                </c:pt>
                <c:pt idx="203">
                  <c:v>53.2</c:v>
                </c:pt>
                <c:pt idx="204">
                  <c:v>76.7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62-4C7D-A84D-4F5EE8E9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03712"/>
        <c:axId val="64298912"/>
      </c:scatterChart>
      <c:valAx>
        <c:axId val="6430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8912"/>
        <c:crosses val="autoZero"/>
        <c:crossBetween val="midCat"/>
      </c:valAx>
      <c:valAx>
        <c:axId val="6429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[day2_student_screen_time.xlsx]Pivot 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Avg</a:t>
            </a:r>
            <a:r>
              <a:rPr lang="en-US" baseline="0">
                <a:solidFill>
                  <a:srgbClr val="FF0000"/>
                </a:solidFill>
              </a:rPr>
              <a:t> Test Score by Screen Time Range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'!$D$4:$D$8</c:f>
              <c:strCache>
                <c:ptCount val="4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6+ hrs</c:v>
                </c:pt>
              </c:strCache>
            </c:strRef>
          </c:cat>
          <c:val>
            <c:numRef>
              <c:f>'Pivot '!$E$4:$E$8</c:f>
              <c:numCache>
                <c:formatCode>General</c:formatCode>
                <c:ptCount val="4"/>
                <c:pt idx="0">
                  <c:v>70.880467555167129</c:v>
                </c:pt>
                <c:pt idx="1">
                  <c:v>68.834403266331634</c:v>
                </c:pt>
                <c:pt idx="2">
                  <c:v>72.795018844221133</c:v>
                </c:pt>
                <c:pt idx="3">
                  <c:v>71.081818181818193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6-4E8E-9467-7F3A593F5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94240"/>
        <c:axId val="182295200"/>
      </c:barChart>
      <c:catAx>
        <c:axId val="1822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5200"/>
        <c:crosses val="autoZero"/>
        <c:auto val="1"/>
        <c:lblAlgn val="ctr"/>
        <c:lblOffset val="100"/>
        <c:noMultiLvlLbl val="0"/>
      </c:catAx>
      <c:valAx>
        <c:axId val="1822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</xdr:row>
      <xdr:rowOff>165100</xdr:rowOff>
    </xdr:from>
    <xdr:to>
      <xdr:col>10</xdr:col>
      <xdr:colOff>419100</xdr:colOff>
      <xdr:row>16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9A4ED2-B39B-D372-2DC2-789302C56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9</xdr:row>
      <xdr:rowOff>19050</xdr:rowOff>
    </xdr:from>
    <xdr:to>
      <xdr:col>4</xdr:col>
      <xdr:colOff>552450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AD6DB-A1A2-A6CC-C120-4C1E8788E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34925</xdr:colOff>
      <xdr:row>9</xdr:row>
      <xdr:rowOff>0</xdr:rowOff>
    </xdr:from>
    <xdr:to>
      <xdr:col>12</xdr:col>
      <xdr:colOff>339725</xdr:colOff>
      <xdr:row>23</xdr:row>
      <xdr:rowOff>158750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DA51C22-A63E-C096-B4BE-0EC8F2D92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520700</xdr:colOff>
      <xdr:row>8</xdr:row>
      <xdr:rowOff>171450</xdr:rowOff>
    </xdr:from>
    <xdr:to>
      <xdr:col>18</xdr:col>
      <xdr:colOff>577850</xdr:colOff>
      <xdr:row>23</xdr:row>
      <xdr:rowOff>177800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58257A81-A76F-EA8C-A840-126A7A8D2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 Akshintala" refreshedDate="46098.987102083331" createdVersion="8" refreshedVersion="8" minRefreshableVersion="3" recordCount="205" xr:uid="{DAD59C3A-32F7-4BB4-BFD8-82E196455ACC}">
  <cacheSource type="worksheet">
    <worksheetSource ref="A1:L206" sheet="student_screen_time_raw"/>
  </cacheSource>
  <cacheFields count="12">
    <cacheField name="Stud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/>
    </cacheField>
    <cacheField name="Study_Hours" numFmtId="0">
      <sharedItems containsSemiMixedTypes="0" containsString="0" containsNumber="1" minValue="0.2" maxValue="5.8"/>
    </cacheField>
    <cacheField name="Screen_Time" numFmtId="0">
      <sharedItems containsSemiMixedTypes="0" containsString="0" containsNumber="1" minValue="0" maxValue="7.9"/>
    </cacheField>
    <cacheField name="Test_Scores" numFmtId="0">
      <sharedItems containsSemiMixedTypes="0" containsString="0" containsNumber="1" minValue="34.299999999999997" maxValue="100"/>
    </cacheField>
    <cacheField name="Extra_Curricular_Hours" numFmtId="0">
      <sharedItems containsSemiMixedTypes="0" containsString="0" containsNumber="1" minValue="0" maxValue="3.7"/>
    </cacheField>
    <cacheField name="Screen time category" numFmtId="0">
      <sharedItems count="2">
        <s v="Low screen time"/>
        <s v="High screen time"/>
      </sharedItems>
    </cacheField>
    <cacheField name="Performance_Level" numFmtId="0">
      <sharedItems/>
    </cacheField>
    <cacheField name="Study Efficiency" numFmtId="170">
      <sharedItems containsSemiMixedTypes="0" containsString="0" containsNumber="1" minValue="8.8867924528301891" maxValue="347.5"/>
    </cacheField>
    <cacheField name="Activity Balance" numFmtId="0">
      <sharedItems containsSemiMixedTypes="0" containsString="0" containsNumber="1" minValue="0.5" maxValue="7.6"/>
    </cacheField>
    <cacheField name="Age Group" numFmtId="0">
      <sharedItems count="2">
        <s v="Older Student"/>
        <s v="Teen"/>
      </sharedItems>
    </cacheField>
    <cacheField name="High Risk Stud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 Akshintala" refreshedDate="46099.042636689817" createdVersion="8" refreshedVersion="8" minRefreshableVersion="3" recordCount="205" xr:uid="{11D77B85-5FEC-44F1-8823-F652AEF3D1C0}">
  <cacheSource type="worksheet">
    <worksheetSource ref="A1:M206" sheet="student_screen_time_raw"/>
  </cacheSource>
  <cacheFields count="13">
    <cacheField name="Stud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/>
    </cacheField>
    <cacheField name="Study_Hours" numFmtId="0">
      <sharedItems containsSemiMixedTypes="0" containsString="0" containsNumber="1" minValue="0.2" maxValue="5.8"/>
    </cacheField>
    <cacheField name="Screen_Time" numFmtId="0">
      <sharedItems containsSemiMixedTypes="0" containsString="0" containsNumber="1" minValue="0" maxValue="7.9"/>
    </cacheField>
    <cacheField name="Test_Scores" numFmtId="0">
      <sharedItems containsSemiMixedTypes="0" containsString="0" containsNumber="1" minValue="34.299999999999997" maxValue="100" count="159">
        <n v="75"/>
        <n v="68.099999999999994"/>
        <n v="67.900000000000006"/>
        <n v="47.2"/>
        <n v="78"/>
        <n v="71.5"/>
        <n v="88"/>
        <n v="69.3"/>
        <n v="75.7"/>
        <n v="78.3"/>
        <n v="52.5"/>
        <n v="96.2"/>
        <n v="65.7"/>
        <n v="74.900000000000006"/>
        <n v="76.400000000000006"/>
        <n v="61.9"/>
        <n v="88.5"/>
        <n v="72.7"/>
        <n v="71.400000000000006"/>
        <n v="77.599999999999994"/>
        <n v="70.099999999999994"/>
        <n v="78.8"/>
        <n v="53.2"/>
        <n v="62.5"/>
        <n v="48.6"/>
        <n v="90"/>
        <n v="89.8"/>
        <n v="76.3"/>
        <n v="59.9"/>
        <n v="93.9"/>
        <n v="64"/>
        <n v="71.599999999999994"/>
        <n v="74.5"/>
        <n v="76.8"/>
        <n v="70.850753768844243"/>
        <n v="76.7"/>
        <n v="75.8"/>
        <n v="65.599999999999994"/>
        <n v="74.599999999999994"/>
        <n v="76.5"/>
        <n v="57.1"/>
        <n v="67.3"/>
        <n v="76.099999999999994"/>
        <n v="87.1"/>
        <n v="78.2"/>
        <n v="87.7"/>
        <n v="66"/>
        <n v="72.5"/>
        <n v="78.099999999999994"/>
        <n v="46.7"/>
        <n v="51.4"/>
        <n v="80"/>
        <n v="76.900000000000006"/>
        <n v="46.6"/>
        <n v="47.1"/>
        <n v="82.1"/>
        <n v="61.2"/>
        <n v="75.099999999999994"/>
        <n v="69.900000000000006"/>
        <n v="80.5"/>
        <n v="74.8"/>
        <n v="85.8"/>
        <n v="79.7"/>
        <n v="77.2"/>
        <n v="66.5"/>
        <n v="69.5"/>
        <n v="88.4"/>
        <n v="65.900000000000006"/>
        <n v="72.599999999999994"/>
        <n v="47.6"/>
        <n v="92.6"/>
        <n v="60.7"/>
        <n v="100"/>
        <n v="71.8"/>
        <n v="44.3"/>
        <n v="66.099999999999994"/>
        <n v="83.3"/>
        <n v="85.7"/>
        <n v="58.2"/>
        <n v="63.2"/>
        <n v="63.9"/>
        <n v="72.099999999999994"/>
        <n v="78.7"/>
        <n v="60.6"/>
        <n v="72"/>
        <n v="83"/>
        <n v="63.7"/>
        <n v="65"/>
        <n v="74.2"/>
        <n v="57.7"/>
        <n v="59"/>
        <n v="75.400000000000006"/>
        <n v="56.4"/>
        <n v="84"/>
        <n v="63.1"/>
        <n v="76.2"/>
        <n v="60.8"/>
        <n v="67.5"/>
        <n v="78.400000000000006"/>
        <n v="69.599999999999994"/>
        <n v="70.8"/>
        <n v="73.099999999999994"/>
        <n v="58.1"/>
        <n v="72.8"/>
        <n v="62.8"/>
        <n v="79.099999999999994"/>
        <n v="63.3"/>
        <n v="63.4"/>
        <n v="92.8"/>
        <n v="71.099999999999994"/>
        <n v="81.3"/>
        <n v="64.2"/>
        <n v="60.9"/>
        <n v="61.3"/>
        <n v="53.9"/>
        <n v="83.5"/>
        <n v="66.7"/>
        <n v="65.5"/>
        <n v="48.8"/>
        <n v="55.7"/>
        <n v="84.7"/>
        <n v="73"/>
        <n v="81.7"/>
        <n v="80.400000000000006"/>
        <n v="60"/>
        <n v="94.3"/>
        <n v="89.5"/>
        <n v="64.400000000000006"/>
        <n v="34.299999999999997"/>
        <n v="66.400000000000006"/>
        <n v="72.400000000000006"/>
        <n v="64.3"/>
        <n v="67.8"/>
        <n v="61.7"/>
        <n v="79.2"/>
        <n v="70.599999999999994"/>
        <n v="79.5"/>
        <n v="82.2"/>
        <n v="48.3"/>
        <n v="62.3"/>
        <n v="63.8"/>
        <n v="95.7"/>
        <n v="51.2"/>
        <n v="79.8"/>
        <n v="78.599999999999994"/>
        <n v="53.1"/>
        <n v="61"/>
        <n v="72.3"/>
        <n v="74.7"/>
        <n v="83.7"/>
        <n v="79.599999999999994"/>
        <n v="77.5"/>
        <n v="80.099999999999994"/>
        <n v="64.900000000000006"/>
        <n v="69"/>
        <n v="65.2"/>
        <n v="80.2"/>
        <n v="82.5"/>
        <n v="66.3"/>
      </sharedItems>
    </cacheField>
    <cacheField name="Extra_Curricular_Hours" numFmtId="0">
      <sharedItems containsSemiMixedTypes="0" containsString="0" containsNumber="1" minValue="0" maxValue="3.7"/>
    </cacheField>
    <cacheField name="Screen time category" numFmtId="0">
      <sharedItems/>
    </cacheField>
    <cacheField name="Performance_Level" numFmtId="0">
      <sharedItems/>
    </cacheField>
    <cacheField name="Study Efficiency" numFmtId="170">
      <sharedItems containsSemiMixedTypes="0" containsString="0" containsNumber="1" minValue="8.8867924528301891" maxValue="347.5"/>
    </cacheField>
    <cacheField name="Activity Balance" numFmtId="0">
      <sharedItems containsSemiMixedTypes="0" containsString="0" containsNumber="1" minValue="0.5" maxValue="7.6"/>
    </cacheField>
    <cacheField name="Age Group" numFmtId="0">
      <sharedItems/>
    </cacheField>
    <cacheField name="High Risk Student" numFmtId="0">
      <sharedItems/>
    </cacheField>
    <cacheField name="Screen time Range" numFmtId="0">
      <sharedItems count="4">
        <s v="2-4 hrs"/>
        <s v="4-6 hrs"/>
        <s v="0-2 hrs"/>
        <s v="6+ h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1"/>
    <n v="16"/>
    <n v="2.5"/>
    <n v="2.7"/>
    <n v="75"/>
    <n v="1.6"/>
    <x v="0"/>
    <s v="High"/>
    <n v="30"/>
    <n v="4.0999999999999996"/>
    <x v="0"/>
    <s v="No"/>
  </r>
  <r>
    <n v="2"/>
    <n v="17"/>
    <n v="2.7"/>
    <n v="4"/>
    <n v="68.099999999999994"/>
    <n v="0.7"/>
    <x v="0"/>
    <s v="Average"/>
    <n v="25.222222222222218"/>
    <n v="3.4000000000000004"/>
    <x v="0"/>
    <s v="No"/>
  </r>
  <r>
    <n v="3"/>
    <n v="15"/>
    <n v="3"/>
    <n v="4.3"/>
    <n v="67.900000000000006"/>
    <n v="1.5"/>
    <x v="1"/>
    <s v="Average"/>
    <n v="22.633333333333336"/>
    <n v="4.5"/>
    <x v="1"/>
    <s v="No"/>
  </r>
  <r>
    <n v="4"/>
    <n v="17"/>
    <n v="3"/>
    <n v="2.8"/>
    <n v="47.2"/>
    <n v="1.8"/>
    <x v="0"/>
    <s v="Low"/>
    <n v="15.733333333333334"/>
    <n v="4.8"/>
    <x v="0"/>
    <s v="No"/>
  </r>
  <r>
    <n v="5"/>
    <n v="17"/>
    <n v="2.5577889447236175"/>
    <n v="1.8"/>
    <n v="78"/>
    <n v="1.4"/>
    <x v="0"/>
    <s v="High"/>
    <n v="30"/>
    <n v="4.0999999999999996"/>
    <x v="0"/>
    <s v="No"/>
  </r>
  <r>
    <n v="6"/>
    <n v="14"/>
    <n v="1.3"/>
    <n v="4.4000000000000004"/>
    <n v="71.5"/>
    <n v="0.4"/>
    <x v="1"/>
    <s v="Average"/>
    <n v="55"/>
    <n v="1.7000000000000002"/>
    <x v="1"/>
    <s v="No"/>
  </r>
  <r>
    <n v="7"/>
    <n v="15"/>
    <n v="3.3"/>
    <n v="6.7"/>
    <n v="88"/>
    <n v="2.9"/>
    <x v="1"/>
    <s v="High"/>
    <n v="26.666666666666668"/>
    <n v="6.1999999999999993"/>
    <x v="1"/>
    <s v="No"/>
  </r>
  <r>
    <n v="8"/>
    <n v="15"/>
    <n v="2.9"/>
    <n v="4.5999999999999996"/>
    <n v="69.3"/>
    <n v="1.6"/>
    <x v="1"/>
    <s v="Average"/>
    <n v="23.896551724137932"/>
    <n v="4.5"/>
    <x v="1"/>
    <s v="No"/>
  </r>
  <r>
    <n v="9"/>
    <n v="15"/>
    <n v="1.4"/>
    <n v="4.0999999999999996"/>
    <n v="75.7"/>
    <n v="0.9"/>
    <x v="1"/>
    <s v="High"/>
    <n v="54.071428571428577"/>
    <n v="2.2999999999999998"/>
    <x v="1"/>
    <s v="No"/>
  </r>
  <r>
    <n v="10"/>
    <n v="17"/>
    <n v="1.8"/>
    <n v="4.0999999999999996"/>
    <n v="78.3"/>
    <n v="2.8"/>
    <x v="1"/>
    <s v="High"/>
    <n v="43.5"/>
    <n v="4.5999999999999996"/>
    <x v="0"/>
    <s v="No"/>
  </r>
  <r>
    <n v="11"/>
    <n v="16"/>
    <n v="3.4"/>
    <n v="3.6"/>
    <n v="52.5"/>
    <n v="2"/>
    <x v="0"/>
    <s v="Average"/>
    <n v="15.441176470588236"/>
    <n v="5.4"/>
    <x v="0"/>
    <s v="No"/>
  </r>
  <r>
    <n v="12"/>
    <n v="15"/>
    <n v="3.1"/>
    <n v="5.8"/>
    <n v="96.2"/>
    <n v="0.5"/>
    <x v="1"/>
    <s v="High"/>
    <n v="31.032258064516128"/>
    <n v="3.6"/>
    <x v="1"/>
    <s v="No"/>
  </r>
  <r>
    <n v="13"/>
    <n v="17"/>
    <n v="1.8"/>
    <n v="4.013065326633166"/>
    <n v="65.7"/>
    <n v="0.7"/>
    <x v="0"/>
    <s v="Average"/>
    <n v="36.5"/>
    <n v="2.5"/>
    <x v="0"/>
    <s v="No"/>
  </r>
  <r>
    <n v="14"/>
    <n v="14"/>
    <n v="2.2000000000000002"/>
    <n v="2"/>
    <n v="74.900000000000006"/>
    <n v="1.3"/>
    <x v="0"/>
    <s v="Average"/>
    <n v="34.045454545454547"/>
    <n v="3.5"/>
    <x v="1"/>
    <s v="No"/>
  </r>
  <r>
    <n v="15"/>
    <n v="16"/>
    <n v="2.4"/>
    <n v="1.6"/>
    <n v="76.400000000000006"/>
    <n v="1.7"/>
    <x v="0"/>
    <s v="High"/>
    <n v="31.833333333333336"/>
    <n v="4.0999999999999996"/>
    <x v="0"/>
    <s v="No"/>
  </r>
  <r>
    <n v="16"/>
    <n v="14"/>
    <n v="3.1"/>
    <n v="4.0999999999999996"/>
    <n v="61.9"/>
    <n v="2"/>
    <x v="1"/>
    <s v="Average"/>
    <n v="19.967741935483868"/>
    <n v="5.0999999999999996"/>
    <x v="1"/>
    <s v="No"/>
  </r>
  <r>
    <n v="17"/>
    <n v="16"/>
    <n v="3.7"/>
    <n v="5.6"/>
    <n v="88.5"/>
    <n v="2.2999999999999998"/>
    <x v="1"/>
    <s v="High"/>
    <n v="23.918918918918919"/>
    <n v="6"/>
    <x v="0"/>
    <s v="No"/>
  </r>
  <r>
    <n v="18"/>
    <n v="17"/>
    <n v="2.6"/>
    <n v="4.4000000000000004"/>
    <n v="72.7"/>
    <n v="1.9"/>
    <x v="1"/>
    <s v="Average"/>
    <n v="27.961538461538463"/>
    <n v="4.5"/>
    <x v="0"/>
    <s v="No"/>
  </r>
  <r>
    <n v="19"/>
    <n v="13"/>
    <n v="2.5577889447236175"/>
    <n v="3.5"/>
    <n v="67.900000000000006"/>
    <n v="2.6"/>
    <x v="0"/>
    <s v="Average"/>
    <n v="30"/>
    <n v="4.0999999999999996"/>
    <x v="1"/>
    <s v="No"/>
  </r>
  <r>
    <n v="20"/>
    <n v="16"/>
    <n v="3.4"/>
    <n v="4.7"/>
    <n v="71.400000000000006"/>
    <n v="1.6"/>
    <x v="1"/>
    <s v="Average"/>
    <n v="21.000000000000004"/>
    <n v="5"/>
    <x v="0"/>
    <s v="No"/>
  </r>
  <r>
    <n v="21"/>
    <n v="14"/>
    <n v="2.7"/>
    <n v="4.3"/>
    <n v="77.599999999999994"/>
    <n v="0.9"/>
    <x v="1"/>
    <s v="High"/>
    <n v="28.740740740740737"/>
    <n v="3.6"/>
    <x v="1"/>
    <s v="No"/>
  </r>
  <r>
    <n v="22"/>
    <n v="17"/>
    <n v="1.1000000000000001"/>
    <n v="5.2"/>
    <n v="70.099999999999994"/>
    <n v="1.5"/>
    <x v="1"/>
    <s v="Average"/>
    <n v="63.72727272727272"/>
    <n v="2.6"/>
    <x v="0"/>
    <s v="No"/>
  </r>
  <r>
    <n v="23"/>
    <n v="16"/>
    <n v="1.5"/>
    <n v="6"/>
    <n v="78.8"/>
    <n v="1.4"/>
    <x v="1"/>
    <s v="High"/>
    <n v="52.533333333333331"/>
    <n v="2.9"/>
    <x v="0"/>
    <s v="No"/>
  </r>
  <r>
    <n v="24"/>
    <n v="13"/>
    <n v="3.2"/>
    <n v="2.6"/>
    <n v="53.2"/>
    <n v="0"/>
    <x v="0"/>
    <s v="Average"/>
    <n v="16.625"/>
    <n v="3.2"/>
    <x v="1"/>
    <s v="No"/>
  </r>
  <r>
    <n v="25"/>
    <n v="13"/>
    <n v="0.8"/>
    <n v="0.5"/>
    <n v="62.5"/>
    <n v="1.1000000000000001"/>
    <x v="0"/>
    <s v="Average"/>
    <n v="78.125"/>
    <n v="1.9000000000000001"/>
    <x v="1"/>
    <s v="No"/>
  </r>
  <r>
    <n v="26"/>
    <n v="15"/>
    <n v="2.6"/>
    <n v="3.5"/>
    <n v="48.6"/>
    <n v="1.8"/>
    <x v="0"/>
    <s v="Low"/>
    <n v="18.692307692307693"/>
    <n v="4.4000000000000004"/>
    <x v="1"/>
    <s v="No"/>
  </r>
  <r>
    <n v="27"/>
    <n v="15"/>
    <n v="3.5"/>
    <n v="2.5"/>
    <n v="90"/>
    <n v="1.2"/>
    <x v="0"/>
    <s v="High"/>
    <n v="25.714285714285715"/>
    <n v="4.7"/>
    <x v="1"/>
    <s v="No"/>
  </r>
  <r>
    <n v="28"/>
    <n v="14"/>
    <n v="2.7"/>
    <n v="5.2"/>
    <n v="89.8"/>
    <n v="1"/>
    <x v="1"/>
    <s v="High"/>
    <n v="33.25925925925926"/>
    <n v="3.7"/>
    <x v="1"/>
    <s v="No"/>
  </r>
  <r>
    <n v="29"/>
    <n v="16"/>
    <n v="1.9"/>
    <n v="2.9"/>
    <n v="76.3"/>
    <n v="2.2000000000000002"/>
    <x v="0"/>
    <s v="High"/>
    <n v="40.157894736842103"/>
    <n v="4.0999999999999996"/>
    <x v="0"/>
    <s v="No"/>
  </r>
  <r>
    <n v="30"/>
    <n v="16"/>
    <n v="1.7"/>
    <n v="1.2"/>
    <n v="59.9"/>
    <n v="0.8"/>
    <x v="0"/>
    <s v="Average"/>
    <n v="35.235294117647058"/>
    <n v="2.5"/>
    <x v="0"/>
    <s v="No"/>
  </r>
  <r>
    <n v="31"/>
    <n v="15"/>
    <n v="3.3"/>
    <n v="3.1"/>
    <n v="93.9"/>
    <n v="2.1"/>
    <x v="0"/>
    <s v="High"/>
    <n v="28.454545454545457"/>
    <n v="5.4"/>
    <x v="1"/>
    <s v="No"/>
  </r>
  <r>
    <n v="32"/>
    <n v="16"/>
    <n v="3"/>
    <n v="1.8"/>
    <n v="64"/>
    <n v="0.4"/>
    <x v="0"/>
    <s v="Average"/>
    <n v="21.333333333333332"/>
    <n v="3.4"/>
    <x v="0"/>
    <s v="No"/>
  </r>
  <r>
    <n v="33"/>
    <n v="16"/>
    <n v="2.2000000000000002"/>
    <n v="6.4"/>
    <n v="67.900000000000006"/>
    <n v="3.7"/>
    <x v="1"/>
    <s v="Average"/>
    <n v="30.863636363636363"/>
    <n v="5.9"/>
    <x v="0"/>
    <s v="No"/>
  </r>
  <r>
    <n v="34"/>
    <n v="13"/>
    <n v="3.6"/>
    <n v="4.7"/>
    <n v="71.599999999999994"/>
    <n v="1.3"/>
    <x v="1"/>
    <s v="Average"/>
    <n v="19.888888888888886"/>
    <n v="4.9000000000000004"/>
    <x v="1"/>
    <s v="No"/>
  </r>
  <r>
    <n v="35"/>
    <n v="15"/>
    <n v="3.4"/>
    <n v="5"/>
    <n v="74.5"/>
    <n v="1.2"/>
    <x v="1"/>
    <s v="Average"/>
    <n v="21.911764705882355"/>
    <n v="4.5999999999999996"/>
    <x v="1"/>
    <s v="No"/>
  </r>
  <r>
    <n v="36"/>
    <n v="17"/>
    <n v="4.3"/>
    <n v="4.8"/>
    <n v="76.400000000000006"/>
    <n v="2.4"/>
    <x v="1"/>
    <s v="High"/>
    <n v="17.767441860465119"/>
    <n v="6.6999999999999993"/>
    <x v="0"/>
    <s v="No"/>
  </r>
  <r>
    <n v="37"/>
    <n v="15"/>
    <n v="3.1"/>
    <n v="5.3"/>
    <n v="76.8"/>
    <n v="1.2"/>
    <x v="1"/>
    <s v="High"/>
    <n v="24.774193548387096"/>
    <n v="4.3"/>
    <x v="1"/>
    <s v="No"/>
  </r>
  <r>
    <n v="38"/>
    <n v="17"/>
    <n v="2.2999999999999998"/>
    <n v="5.7"/>
    <n v="70.850753768844243"/>
    <n v="2.7"/>
    <x v="1"/>
    <s v="High"/>
    <n v="30"/>
    <n v="5"/>
    <x v="0"/>
    <s v="No"/>
  </r>
  <r>
    <n v="39"/>
    <n v="13"/>
    <n v="2.4"/>
    <n v="3.2"/>
    <n v="76.7"/>
    <n v="1.8"/>
    <x v="0"/>
    <s v="High"/>
    <n v="31.958333333333336"/>
    <n v="4.2"/>
    <x v="1"/>
    <s v="No"/>
  </r>
  <r>
    <n v="40"/>
    <n v="14"/>
    <n v="0.6"/>
    <n v="1.9"/>
    <n v="70.850753768844243"/>
    <n v="1.4"/>
    <x v="0"/>
    <s v="High"/>
    <n v="30"/>
    <n v="2"/>
    <x v="1"/>
    <s v="No"/>
  </r>
  <r>
    <n v="41"/>
    <n v="16"/>
    <n v="2.7"/>
    <n v="2.7"/>
    <n v="75.8"/>
    <n v="1.3"/>
    <x v="0"/>
    <s v="High"/>
    <n v="28.074074074074073"/>
    <n v="4"/>
    <x v="0"/>
    <s v="No"/>
  </r>
  <r>
    <n v="42"/>
    <n v="13"/>
    <n v="2.5577889447236175"/>
    <n v="3.9"/>
    <n v="75"/>
    <n v="2.5"/>
    <x v="0"/>
    <s v="High"/>
    <n v="30"/>
    <n v="4.0999999999999996"/>
    <x v="1"/>
    <s v="No"/>
  </r>
  <r>
    <n v="43"/>
    <n v="16"/>
    <n v="1.2"/>
    <n v="0.2"/>
    <n v="77.599999999999994"/>
    <n v="1.7"/>
    <x v="0"/>
    <s v="High"/>
    <n v="64.666666666666671"/>
    <n v="2.9"/>
    <x v="0"/>
    <s v="No"/>
  </r>
  <r>
    <n v="44"/>
    <n v="14"/>
    <n v="2.5"/>
    <n v="5.7"/>
    <n v="76.400000000000006"/>
    <n v="1.8"/>
    <x v="1"/>
    <s v="High"/>
    <n v="30.560000000000002"/>
    <n v="4.3"/>
    <x v="1"/>
    <s v="No"/>
  </r>
  <r>
    <n v="45"/>
    <n v="14"/>
    <n v="3.8"/>
    <n v="1.2"/>
    <n v="65.599999999999994"/>
    <n v="1.9"/>
    <x v="0"/>
    <s v="Average"/>
    <n v="17.263157894736842"/>
    <n v="5.6999999999999993"/>
    <x v="1"/>
    <s v="No"/>
  </r>
  <r>
    <n v="46"/>
    <n v="13"/>
    <n v="1.8"/>
    <n v="4.9000000000000004"/>
    <n v="74.599999999999994"/>
    <n v="1.6"/>
    <x v="1"/>
    <s v="Average"/>
    <n v="41.444444444444443"/>
    <n v="3.4000000000000004"/>
    <x v="1"/>
    <s v="No"/>
  </r>
  <r>
    <n v="47"/>
    <n v="14"/>
    <n v="1.5"/>
    <n v="3.7"/>
    <n v="76.5"/>
    <n v="1.9"/>
    <x v="0"/>
    <s v="High"/>
    <n v="51"/>
    <n v="3.4"/>
    <x v="1"/>
    <s v="No"/>
  </r>
  <r>
    <n v="48"/>
    <n v="17"/>
    <n v="3.6"/>
    <n v="4.4000000000000004"/>
    <n v="57.1"/>
    <n v="1.4"/>
    <x v="1"/>
    <s v="Average"/>
    <n v="15.861111111111111"/>
    <n v="5"/>
    <x v="0"/>
    <s v="No"/>
  </r>
  <r>
    <n v="49"/>
    <n v="14"/>
    <n v="3.1"/>
    <n v="3.3"/>
    <n v="67.3"/>
    <n v="1.5"/>
    <x v="0"/>
    <s v="Average"/>
    <n v="21.709677419354836"/>
    <n v="4.5999999999999996"/>
    <x v="1"/>
    <s v="No"/>
  </r>
  <r>
    <n v="50"/>
    <n v="16"/>
    <n v="5.6"/>
    <n v="4.3"/>
    <n v="76.099999999999994"/>
    <n v="0.6"/>
    <x v="1"/>
    <s v="High"/>
    <n v="13.589285714285714"/>
    <n v="6.1999999999999993"/>
    <x v="0"/>
    <s v="No"/>
  </r>
  <r>
    <n v="51"/>
    <n v="16"/>
    <n v="1.2"/>
    <n v="3.3"/>
    <n v="87.1"/>
    <n v="1.7"/>
    <x v="0"/>
    <s v="High"/>
    <n v="72.583333333333329"/>
    <n v="2.9"/>
    <x v="0"/>
    <s v="No"/>
  </r>
  <r>
    <n v="52"/>
    <n v="16"/>
    <n v="3.2"/>
    <n v="3.2"/>
    <n v="78.2"/>
    <n v="0.1"/>
    <x v="0"/>
    <s v="High"/>
    <n v="24.4375"/>
    <n v="3.3000000000000003"/>
    <x v="0"/>
    <s v="No"/>
  </r>
  <r>
    <n v="53"/>
    <n v="16"/>
    <n v="2.8"/>
    <n v="2.7"/>
    <n v="87.7"/>
    <n v="1.7"/>
    <x v="0"/>
    <s v="High"/>
    <n v="31.321428571428573"/>
    <n v="4.5"/>
    <x v="0"/>
    <s v="No"/>
  </r>
  <r>
    <n v="54"/>
    <n v="17"/>
    <n v="2.6"/>
    <n v="4.013065326633166"/>
    <n v="66"/>
    <n v="1.3"/>
    <x v="0"/>
    <s v="Average"/>
    <n v="25.384615384615383"/>
    <n v="3.9000000000000004"/>
    <x v="0"/>
    <s v="No"/>
  </r>
  <r>
    <n v="55"/>
    <n v="15"/>
    <n v="3.4"/>
    <n v="4.5999999999999996"/>
    <n v="72.5"/>
    <n v="1.8"/>
    <x v="1"/>
    <s v="Average"/>
    <n v="21.323529411764707"/>
    <n v="5.2"/>
    <x v="1"/>
    <s v="No"/>
  </r>
  <r>
    <n v="56"/>
    <n v="13"/>
    <n v="2.5"/>
    <n v="4.3"/>
    <n v="78.099999999999994"/>
    <n v="0.7"/>
    <x v="1"/>
    <s v="High"/>
    <n v="31.24"/>
    <n v="3.2"/>
    <x v="1"/>
    <s v="No"/>
  </r>
  <r>
    <n v="57"/>
    <n v="16"/>
    <n v="0.6"/>
    <n v="2.7"/>
    <n v="46.7"/>
    <n v="0"/>
    <x v="0"/>
    <s v="Low"/>
    <n v="77.833333333333343"/>
    <n v="0.6"/>
    <x v="0"/>
    <s v="No"/>
  </r>
  <r>
    <n v="58"/>
    <n v="14"/>
    <n v="1.7"/>
    <n v="3.6"/>
    <n v="70.850753768844243"/>
    <n v="1.2"/>
    <x v="0"/>
    <s v="High"/>
    <n v="30"/>
    <n v="2.9"/>
    <x v="1"/>
    <s v="No"/>
  </r>
  <r>
    <n v="59"/>
    <n v="16"/>
    <n v="3.9"/>
    <n v="2.5"/>
    <n v="51.4"/>
    <n v="0.7"/>
    <x v="0"/>
    <s v="Average"/>
    <n v="13.179487179487179"/>
    <n v="4.5999999999999996"/>
    <x v="0"/>
    <s v="No"/>
  </r>
  <r>
    <n v="60"/>
    <n v="14"/>
    <n v="3.7"/>
    <n v="3.3"/>
    <n v="80"/>
    <n v="0.1"/>
    <x v="0"/>
    <s v="High"/>
    <n v="21.621621621621621"/>
    <n v="3.8000000000000003"/>
    <x v="1"/>
    <s v="No"/>
  </r>
  <r>
    <n v="61"/>
    <n v="14"/>
    <n v="2.1"/>
    <n v="2.2000000000000002"/>
    <n v="76.900000000000006"/>
    <n v="2.1"/>
    <x v="0"/>
    <s v="High"/>
    <n v="36.61904761904762"/>
    <n v="4.2"/>
    <x v="1"/>
    <s v="No"/>
  </r>
  <r>
    <n v="62"/>
    <n v="16"/>
    <n v="3"/>
    <n v="6.4"/>
    <n v="46.6"/>
    <n v="2.8"/>
    <x v="1"/>
    <s v="Low"/>
    <n v="15.533333333333333"/>
    <n v="5.8"/>
    <x v="0"/>
    <s v="Yes"/>
  </r>
  <r>
    <n v="63"/>
    <n v="17"/>
    <n v="5.3"/>
    <n v="4.013065326633166"/>
    <n v="47.1"/>
    <n v="0.9"/>
    <x v="0"/>
    <s v="Low"/>
    <n v="8.8867924528301891"/>
    <n v="6.2"/>
    <x v="0"/>
    <s v="No"/>
  </r>
  <r>
    <n v="64"/>
    <n v="14"/>
    <n v="2.5"/>
    <n v="2.7"/>
    <n v="70.850753768844243"/>
    <n v="1.4"/>
    <x v="0"/>
    <s v="High"/>
    <n v="30"/>
    <n v="3.9"/>
    <x v="1"/>
    <s v="No"/>
  </r>
  <r>
    <n v="65"/>
    <n v="14"/>
    <n v="2.5"/>
    <n v="2"/>
    <n v="82.1"/>
    <n v="1.3"/>
    <x v="0"/>
    <s v="High"/>
    <n v="32.839999999999996"/>
    <n v="3.8"/>
    <x v="1"/>
    <s v="No"/>
  </r>
  <r>
    <n v="66"/>
    <n v="16"/>
    <n v="2.7"/>
    <n v="2.8"/>
    <n v="61.2"/>
    <n v="1"/>
    <x v="0"/>
    <s v="Average"/>
    <n v="22.666666666666668"/>
    <n v="3.7"/>
    <x v="0"/>
    <s v="No"/>
  </r>
  <r>
    <n v="67"/>
    <n v="14"/>
    <n v="3.1"/>
    <n v="3.3"/>
    <n v="61.2"/>
    <n v="2"/>
    <x v="0"/>
    <s v="Average"/>
    <n v="19.741935483870968"/>
    <n v="5.0999999999999996"/>
    <x v="1"/>
    <s v="No"/>
  </r>
  <r>
    <n v="68"/>
    <n v="14"/>
    <n v="2.2000000000000002"/>
    <n v="3.9"/>
    <n v="75.099999999999994"/>
    <n v="2.2999999999999998"/>
    <x v="0"/>
    <s v="High"/>
    <n v="34.136363636363633"/>
    <n v="4.5"/>
    <x v="1"/>
    <s v="No"/>
  </r>
  <r>
    <n v="69"/>
    <n v="16"/>
    <n v="3.1"/>
    <n v="3"/>
    <n v="69.900000000000006"/>
    <n v="0.8"/>
    <x v="0"/>
    <s v="Average"/>
    <n v="22.548387096774196"/>
    <n v="3.9000000000000004"/>
    <x v="0"/>
    <s v="No"/>
  </r>
  <r>
    <n v="70"/>
    <n v="16"/>
    <n v="0.6"/>
    <n v="1.6"/>
    <n v="80.5"/>
    <n v="1.5"/>
    <x v="0"/>
    <s v="High"/>
    <n v="134.16666666666669"/>
    <n v="2.1"/>
    <x v="0"/>
    <s v="No"/>
  </r>
  <r>
    <n v="71"/>
    <n v="13"/>
    <n v="2.8"/>
    <n v="1.7"/>
    <n v="74.8"/>
    <n v="2.5"/>
    <x v="0"/>
    <s v="Average"/>
    <n v="26.714285714285715"/>
    <n v="5.3"/>
    <x v="1"/>
    <s v="No"/>
  </r>
  <r>
    <n v="72"/>
    <n v="17"/>
    <n v="2.6"/>
    <n v="5"/>
    <n v="85.8"/>
    <n v="2.1"/>
    <x v="1"/>
    <s v="High"/>
    <n v="33"/>
    <n v="4.7"/>
    <x v="0"/>
    <s v="No"/>
  </r>
  <r>
    <n v="73"/>
    <n v="17"/>
    <n v="2.2999999999999998"/>
    <n v="3.8"/>
    <n v="79.7"/>
    <n v="2.2000000000000002"/>
    <x v="0"/>
    <s v="High"/>
    <n v="34.652173913043484"/>
    <n v="4.5"/>
    <x v="0"/>
    <s v="No"/>
  </r>
  <r>
    <n v="74"/>
    <n v="14"/>
    <n v="2"/>
    <n v="5"/>
    <n v="77.2"/>
    <n v="2.6"/>
    <x v="1"/>
    <s v="High"/>
    <n v="38.6"/>
    <n v="4.5999999999999996"/>
    <x v="1"/>
    <s v="No"/>
  </r>
  <r>
    <n v="75"/>
    <n v="17"/>
    <n v="1.9"/>
    <n v="5.2"/>
    <n v="66.5"/>
    <n v="2.6"/>
    <x v="1"/>
    <s v="Average"/>
    <n v="35"/>
    <n v="4.5"/>
    <x v="0"/>
    <s v="No"/>
  </r>
  <r>
    <n v="76"/>
    <n v="14"/>
    <n v="1.7"/>
    <n v="4.2"/>
    <n v="65.7"/>
    <n v="2.2999999999999998"/>
    <x v="1"/>
    <s v="Average"/>
    <n v="38.647058823529413"/>
    <n v="4"/>
    <x v="1"/>
    <s v="No"/>
  </r>
  <r>
    <n v="77"/>
    <n v="13"/>
    <n v="0.2"/>
    <n v="2.2000000000000002"/>
    <n v="69.5"/>
    <n v="1.6"/>
    <x v="0"/>
    <s v="Average"/>
    <n v="347.5"/>
    <n v="1.8"/>
    <x v="1"/>
    <s v="No"/>
  </r>
  <r>
    <n v="78"/>
    <n v="16"/>
    <n v="2.2000000000000002"/>
    <n v="4.3"/>
    <n v="88.4"/>
    <n v="1.2"/>
    <x v="1"/>
    <s v="High"/>
    <n v="40.18181818181818"/>
    <n v="3.4000000000000004"/>
    <x v="0"/>
    <s v="No"/>
  </r>
  <r>
    <n v="79"/>
    <n v="16"/>
    <n v="3.6"/>
    <n v="6.1"/>
    <n v="65.900000000000006"/>
    <n v="1.6"/>
    <x v="1"/>
    <s v="Average"/>
    <n v="18.305555555555557"/>
    <n v="5.2"/>
    <x v="0"/>
    <s v="No"/>
  </r>
  <r>
    <n v="80"/>
    <n v="16"/>
    <n v="2.2000000000000002"/>
    <n v="3.3"/>
    <n v="72.599999999999994"/>
    <n v="1.1000000000000001"/>
    <x v="0"/>
    <s v="Average"/>
    <n v="32.999999999999993"/>
    <n v="3.3000000000000003"/>
    <x v="0"/>
    <s v="No"/>
  </r>
  <r>
    <n v="81"/>
    <n v="17"/>
    <n v="3.1"/>
    <n v="4.5"/>
    <n v="47.6"/>
    <n v="0"/>
    <x v="1"/>
    <s v="Low"/>
    <n v="15.35483870967742"/>
    <n v="3.1"/>
    <x v="0"/>
    <s v="Yes"/>
  </r>
  <r>
    <n v="82"/>
    <n v="13"/>
    <n v="1.4"/>
    <n v="4"/>
    <n v="76.8"/>
    <n v="1.3"/>
    <x v="0"/>
    <s v="High"/>
    <n v="54.857142857142861"/>
    <n v="2.7"/>
    <x v="1"/>
    <s v="No"/>
  </r>
  <r>
    <n v="83"/>
    <n v="17"/>
    <n v="1.2"/>
    <n v="6.1"/>
    <n v="92.6"/>
    <n v="1.8"/>
    <x v="1"/>
    <s v="High"/>
    <n v="77.166666666666671"/>
    <n v="3"/>
    <x v="0"/>
    <s v="No"/>
  </r>
  <r>
    <n v="84"/>
    <n v="17"/>
    <n v="1.7"/>
    <n v="3"/>
    <n v="60.7"/>
    <n v="1"/>
    <x v="0"/>
    <s v="Average"/>
    <n v="35.705882352941181"/>
    <n v="2.7"/>
    <x v="0"/>
    <s v="No"/>
  </r>
  <r>
    <n v="85"/>
    <n v="13"/>
    <n v="1.5"/>
    <n v="5.7"/>
    <n v="100"/>
    <n v="1.3"/>
    <x v="1"/>
    <s v="High"/>
    <n v="66.666666666666671"/>
    <n v="2.8"/>
    <x v="1"/>
    <s v="No"/>
  </r>
  <r>
    <n v="86"/>
    <n v="13"/>
    <n v="1.3"/>
    <n v="3.4"/>
    <n v="71.8"/>
    <n v="1.4"/>
    <x v="0"/>
    <s v="Average"/>
    <n v="55.230769230769226"/>
    <n v="2.7"/>
    <x v="1"/>
    <s v="No"/>
  </r>
  <r>
    <n v="87"/>
    <n v="13"/>
    <n v="2.9"/>
    <n v="3"/>
    <n v="44.3"/>
    <n v="2.6"/>
    <x v="0"/>
    <s v="Low"/>
    <n v="15.275862068965516"/>
    <n v="5.5"/>
    <x v="1"/>
    <s v="No"/>
  </r>
  <r>
    <n v="88"/>
    <n v="13"/>
    <n v="4.3"/>
    <n v="4.2"/>
    <n v="66.099999999999994"/>
    <n v="1.2"/>
    <x v="1"/>
    <s v="Average"/>
    <n v="15.372093023255813"/>
    <n v="5.5"/>
    <x v="1"/>
    <s v="No"/>
  </r>
  <r>
    <n v="89"/>
    <n v="16"/>
    <n v="1.8"/>
    <n v="4.5"/>
    <n v="83.3"/>
    <n v="2.6"/>
    <x v="1"/>
    <s v="High"/>
    <n v="46.277777777777779"/>
    <n v="4.4000000000000004"/>
    <x v="0"/>
    <s v="No"/>
  </r>
  <r>
    <n v="90"/>
    <n v="15"/>
    <n v="2.5577889447236175"/>
    <n v="6.9"/>
    <n v="90"/>
    <n v="0"/>
    <x v="1"/>
    <s v="High"/>
    <n v="30"/>
    <n v="4.0999999999999996"/>
    <x v="1"/>
    <s v="No"/>
  </r>
  <r>
    <n v="91"/>
    <n v="15"/>
    <n v="3.2"/>
    <n v="4.5"/>
    <n v="77.2"/>
    <n v="2.6"/>
    <x v="1"/>
    <s v="High"/>
    <n v="24.125"/>
    <n v="5.8000000000000007"/>
    <x v="1"/>
    <s v="No"/>
  </r>
  <r>
    <n v="92"/>
    <n v="13"/>
    <n v="1.1000000000000001"/>
    <n v="4.3"/>
    <n v="85.7"/>
    <n v="2.5"/>
    <x v="1"/>
    <s v="High"/>
    <n v="77.909090909090907"/>
    <n v="3.6"/>
    <x v="1"/>
    <s v="No"/>
  </r>
  <r>
    <n v="93"/>
    <n v="15"/>
    <n v="1.3"/>
    <n v="6.4"/>
    <n v="58.2"/>
    <n v="2.2000000000000002"/>
    <x v="1"/>
    <s v="Average"/>
    <n v="44.769230769230766"/>
    <n v="3.5"/>
    <x v="1"/>
    <s v="No"/>
  </r>
  <r>
    <n v="94"/>
    <n v="15"/>
    <n v="3"/>
    <n v="4.9000000000000004"/>
    <n v="63.2"/>
    <n v="0"/>
    <x v="1"/>
    <s v="Average"/>
    <n v="21.066666666666666"/>
    <n v="3"/>
    <x v="1"/>
    <s v="No"/>
  </r>
  <r>
    <n v="95"/>
    <n v="13"/>
    <n v="2.2999999999999998"/>
    <n v="3"/>
    <n v="53.2"/>
    <n v="2.2999999999999998"/>
    <x v="0"/>
    <s v="Average"/>
    <n v="23.130434782608699"/>
    <n v="4.5999999999999996"/>
    <x v="1"/>
    <s v="No"/>
  </r>
  <r>
    <n v="96"/>
    <n v="15"/>
    <n v="1.8"/>
    <n v="6"/>
    <n v="63.9"/>
    <n v="1.5"/>
    <x v="1"/>
    <s v="Average"/>
    <n v="35.5"/>
    <n v="3.3"/>
    <x v="1"/>
    <s v="No"/>
  </r>
  <r>
    <n v="97"/>
    <n v="17"/>
    <n v="2.6"/>
    <n v="2.9"/>
    <n v="77.599999999999994"/>
    <n v="0"/>
    <x v="0"/>
    <s v="High"/>
    <n v="29.846153846153843"/>
    <n v="2.6"/>
    <x v="0"/>
    <s v="No"/>
  </r>
  <r>
    <n v="98"/>
    <n v="14"/>
    <n v="2.1"/>
    <n v="3"/>
    <n v="72.099999999999994"/>
    <n v="2.5"/>
    <x v="0"/>
    <s v="Average"/>
    <n v="34.333333333333329"/>
    <n v="4.5999999999999996"/>
    <x v="1"/>
    <s v="No"/>
  </r>
  <r>
    <n v="99"/>
    <n v="14"/>
    <n v="4.4000000000000004"/>
    <n v="2.7"/>
    <n v="78.7"/>
    <n v="2.7"/>
    <x v="0"/>
    <s v="High"/>
    <n v="17.886363636363637"/>
    <n v="7.1000000000000005"/>
    <x v="1"/>
    <s v="No"/>
  </r>
  <r>
    <n v="100"/>
    <n v="13"/>
    <n v="1.8"/>
    <n v="2.6"/>
    <n v="60.6"/>
    <n v="0"/>
    <x v="0"/>
    <s v="Average"/>
    <n v="33.666666666666664"/>
    <n v="1.8"/>
    <x v="1"/>
    <s v="No"/>
  </r>
  <r>
    <n v="101"/>
    <n v="16"/>
    <n v="1.6"/>
    <n v="4.5"/>
    <n v="61.2"/>
    <n v="1.6"/>
    <x v="1"/>
    <s v="Average"/>
    <n v="38.25"/>
    <n v="3.2"/>
    <x v="0"/>
    <s v="No"/>
  </r>
  <r>
    <n v="102"/>
    <n v="13"/>
    <n v="2"/>
    <n v="3.6"/>
    <n v="72"/>
    <n v="2.6"/>
    <x v="0"/>
    <s v="Average"/>
    <n v="36"/>
    <n v="4.5999999999999996"/>
    <x v="1"/>
    <s v="No"/>
  </r>
  <r>
    <n v="103"/>
    <n v="16"/>
    <n v="2.1"/>
    <n v="0"/>
    <n v="64"/>
    <n v="2.5"/>
    <x v="0"/>
    <s v="Average"/>
    <n v="30.476190476190474"/>
    <n v="4.5999999999999996"/>
    <x v="0"/>
    <s v="No"/>
  </r>
  <r>
    <n v="104"/>
    <n v="14"/>
    <n v="2.5577889447236175"/>
    <n v="3.6"/>
    <n v="83"/>
    <n v="2.2000000000000002"/>
    <x v="0"/>
    <s v="High"/>
    <n v="30"/>
    <n v="4.0999999999999996"/>
    <x v="1"/>
    <s v="No"/>
  </r>
  <r>
    <n v="105"/>
    <n v="13"/>
    <n v="0.5"/>
    <n v="3.2"/>
    <n v="63.7"/>
    <n v="0"/>
    <x v="0"/>
    <s v="Average"/>
    <n v="127.4"/>
    <n v="0.5"/>
    <x v="1"/>
    <s v="No"/>
  </r>
  <r>
    <n v="106"/>
    <n v="17"/>
    <n v="2.9"/>
    <n v="5.3"/>
    <n v="65"/>
    <n v="2.1"/>
    <x v="1"/>
    <s v="Average"/>
    <n v="22.413793103448278"/>
    <n v="5"/>
    <x v="0"/>
    <s v="No"/>
  </r>
  <r>
    <n v="107"/>
    <n v="15"/>
    <n v="2"/>
    <n v="3.2"/>
    <n v="74.2"/>
    <n v="1.3"/>
    <x v="0"/>
    <s v="Average"/>
    <n v="37.1"/>
    <n v="3.3"/>
    <x v="1"/>
    <s v="No"/>
  </r>
  <r>
    <n v="108"/>
    <n v="16"/>
    <n v="3.3"/>
    <n v="7.8"/>
    <n v="66.099999999999994"/>
    <n v="2.2999999999999998"/>
    <x v="1"/>
    <s v="Average"/>
    <n v="20.030303030303031"/>
    <n v="5.6"/>
    <x v="0"/>
    <s v="No"/>
  </r>
  <r>
    <n v="109"/>
    <n v="15"/>
    <n v="2.5"/>
    <n v="6.1"/>
    <n v="57.7"/>
    <n v="1.7"/>
    <x v="1"/>
    <s v="Average"/>
    <n v="23.080000000000002"/>
    <n v="4.2"/>
    <x v="1"/>
    <s v="No"/>
  </r>
  <r>
    <n v="110"/>
    <n v="15"/>
    <n v="3"/>
    <n v="3.4"/>
    <n v="59"/>
    <n v="1.5"/>
    <x v="0"/>
    <s v="Average"/>
    <n v="19.666666666666668"/>
    <n v="4.5"/>
    <x v="1"/>
    <s v="No"/>
  </r>
  <r>
    <n v="111"/>
    <n v="13"/>
    <n v="2.1"/>
    <n v="5.7"/>
    <n v="75.400000000000006"/>
    <n v="2"/>
    <x v="1"/>
    <s v="High"/>
    <n v="35.904761904761905"/>
    <n v="4.0999999999999996"/>
    <x v="1"/>
    <s v="No"/>
  </r>
  <r>
    <n v="112"/>
    <n v="15"/>
    <n v="2.9"/>
    <n v="4.013065326633166"/>
    <n v="56.4"/>
    <n v="1.4"/>
    <x v="0"/>
    <s v="Average"/>
    <n v="19.448275862068964"/>
    <n v="4.3"/>
    <x v="1"/>
    <s v="No"/>
  </r>
  <r>
    <n v="113"/>
    <n v="17"/>
    <n v="4.2"/>
    <n v="4.4000000000000004"/>
    <n v="84"/>
    <n v="1.5"/>
    <x v="1"/>
    <s v="High"/>
    <n v="20"/>
    <n v="5.7"/>
    <x v="0"/>
    <s v="No"/>
  </r>
  <r>
    <n v="114"/>
    <n v="15"/>
    <n v="1.8"/>
    <n v="5.2"/>
    <n v="63.1"/>
    <n v="1.1000000000000001"/>
    <x v="1"/>
    <s v="Average"/>
    <n v="35.055555555555557"/>
    <n v="2.9000000000000004"/>
    <x v="1"/>
    <s v="No"/>
  </r>
  <r>
    <n v="115"/>
    <n v="13"/>
    <n v="2.4"/>
    <n v="4.0999999999999996"/>
    <n v="76.2"/>
    <n v="0.2"/>
    <x v="1"/>
    <s v="High"/>
    <n v="31.750000000000004"/>
    <n v="2.6"/>
    <x v="1"/>
    <s v="No"/>
  </r>
  <r>
    <n v="116"/>
    <n v="17"/>
    <n v="2"/>
    <n v="4.4000000000000004"/>
    <n v="63.7"/>
    <n v="2"/>
    <x v="1"/>
    <s v="Average"/>
    <n v="31.85"/>
    <n v="4"/>
    <x v="0"/>
    <s v="No"/>
  </r>
  <r>
    <n v="117"/>
    <n v="14"/>
    <n v="4.0999999999999996"/>
    <n v="5.2"/>
    <n v="60.8"/>
    <n v="0.9"/>
    <x v="1"/>
    <s v="Average"/>
    <n v="14.829268292682928"/>
    <n v="5"/>
    <x v="1"/>
    <s v="No"/>
  </r>
  <r>
    <n v="118"/>
    <n v="15"/>
    <n v="2.1"/>
    <n v="7.1"/>
    <n v="72.5"/>
    <n v="1.3"/>
    <x v="1"/>
    <s v="Average"/>
    <n v="34.523809523809526"/>
    <n v="3.4000000000000004"/>
    <x v="1"/>
    <s v="No"/>
  </r>
  <r>
    <n v="119"/>
    <n v="13"/>
    <n v="1.8"/>
    <n v="4.4000000000000004"/>
    <n v="80.5"/>
    <n v="1.7"/>
    <x v="1"/>
    <s v="High"/>
    <n v="44.722222222222221"/>
    <n v="3.5"/>
    <x v="1"/>
    <s v="No"/>
  </r>
  <r>
    <n v="120"/>
    <n v="14"/>
    <n v="1.9"/>
    <n v="3.3"/>
    <n v="67.5"/>
    <n v="0"/>
    <x v="0"/>
    <s v="Average"/>
    <n v="35.526315789473685"/>
    <n v="1.9"/>
    <x v="1"/>
    <s v="No"/>
  </r>
  <r>
    <n v="121"/>
    <n v="14"/>
    <n v="2.4"/>
    <n v="1"/>
    <n v="69.3"/>
    <n v="0"/>
    <x v="0"/>
    <s v="Average"/>
    <n v="28.875"/>
    <n v="2.4"/>
    <x v="1"/>
    <s v="No"/>
  </r>
  <r>
    <n v="122"/>
    <n v="16"/>
    <n v="1.7"/>
    <n v="6.9"/>
    <n v="78.099999999999994"/>
    <n v="1.3"/>
    <x v="1"/>
    <s v="High"/>
    <n v="45.941176470588232"/>
    <n v="3"/>
    <x v="0"/>
    <s v="No"/>
  </r>
  <r>
    <n v="123"/>
    <n v="17"/>
    <n v="2.1"/>
    <n v="3.6"/>
    <n v="78.400000000000006"/>
    <n v="1.9"/>
    <x v="0"/>
    <s v="High"/>
    <n v="37.333333333333336"/>
    <n v="4"/>
    <x v="0"/>
    <s v="No"/>
  </r>
  <r>
    <n v="124"/>
    <n v="15"/>
    <n v="2.7"/>
    <n v="4.8"/>
    <n v="69.599999999999994"/>
    <n v="2.1"/>
    <x v="1"/>
    <s v="Average"/>
    <n v="25.777777777777775"/>
    <n v="4.8000000000000007"/>
    <x v="1"/>
    <s v="No"/>
  </r>
  <r>
    <n v="125"/>
    <n v="13"/>
    <n v="2.4"/>
    <n v="6.9"/>
    <n v="65.599999999999994"/>
    <n v="0.2"/>
    <x v="1"/>
    <s v="Average"/>
    <n v="27.333333333333332"/>
    <n v="2.6"/>
    <x v="1"/>
    <s v="No"/>
  </r>
  <r>
    <n v="126"/>
    <n v="16"/>
    <n v="3.3"/>
    <n v="4.3"/>
    <n v="70.8"/>
    <n v="2"/>
    <x v="1"/>
    <s v="Average"/>
    <n v="21.454545454545453"/>
    <n v="5.3"/>
    <x v="0"/>
    <s v="No"/>
  </r>
  <r>
    <n v="127"/>
    <n v="17"/>
    <n v="2.2000000000000002"/>
    <n v="3.7"/>
    <n v="68.099999999999994"/>
    <n v="1.3"/>
    <x v="0"/>
    <s v="Average"/>
    <n v="30.95454545454545"/>
    <n v="3.5"/>
    <x v="0"/>
    <s v="No"/>
  </r>
  <r>
    <n v="128"/>
    <n v="16"/>
    <n v="2.2999999999999998"/>
    <n v="6.1"/>
    <n v="73.099999999999994"/>
    <n v="0.8"/>
    <x v="1"/>
    <s v="Average"/>
    <n v="31.782608695652176"/>
    <n v="3.0999999999999996"/>
    <x v="0"/>
    <s v="No"/>
  </r>
  <r>
    <n v="129"/>
    <n v="17"/>
    <n v="2.8"/>
    <n v="4.7"/>
    <n v="58.1"/>
    <n v="1"/>
    <x v="1"/>
    <s v="Average"/>
    <n v="20.750000000000004"/>
    <n v="3.8"/>
    <x v="0"/>
    <s v="No"/>
  </r>
  <r>
    <n v="130"/>
    <n v="17"/>
    <n v="4.7"/>
    <n v="4.9000000000000004"/>
    <n v="72.8"/>
    <n v="2.1"/>
    <x v="1"/>
    <s v="Average"/>
    <n v="15.489361702127658"/>
    <n v="6.8000000000000007"/>
    <x v="0"/>
    <s v="No"/>
  </r>
  <r>
    <n v="131"/>
    <n v="15"/>
    <n v="1.7"/>
    <n v="1.7"/>
    <n v="62.8"/>
    <n v="1.7"/>
    <x v="0"/>
    <s v="Average"/>
    <n v="36.941176470588232"/>
    <n v="3.4"/>
    <x v="1"/>
    <s v="No"/>
  </r>
  <r>
    <n v="132"/>
    <n v="17"/>
    <n v="4.4000000000000004"/>
    <n v="5.8"/>
    <n v="79.099999999999994"/>
    <n v="1.5"/>
    <x v="1"/>
    <s v="High"/>
    <n v="17.977272727272723"/>
    <n v="5.9"/>
    <x v="0"/>
    <s v="No"/>
  </r>
  <r>
    <n v="133"/>
    <n v="16"/>
    <n v="1.3"/>
    <n v="4.5999999999999996"/>
    <n v="63.3"/>
    <n v="1.7"/>
    <x v="1"/>
    <s v="Average"/>
    <n v="48.692307692307686"/>
    <n v="3"/>
    <x v="0"/>
    <s v="No"/>
  </r>
  <r>
    <n v="134"/>
    <n v="17"/>
    <n v="2.7"/>
    <n v="1.9"/>
    <n v="63.4"/>
    <n v="2.2000000000000002"/>
    <x v="0"/>
    <s v="Average"/>
    <n v="23.481481481481481"/>
    <n v="4.9000000000000004"/>
    <x v="0"/>
    <s v="No"/>
  </r>
  <r>
    <n v="135"/>
    <n v="15"/>
    <n v="2.5577889447236175"/>
    <n v="4.7"/>
    <n v="74.5"/>
    <n v="1.4"/>
    <x v="1"/>
    <s v="Average"/>
    <n v="30"/>
    <n v="4.0999999999999996"/>
    <x v="1"/>
    <s v="No"/>
  </r>
  <r>
    <n v="136"/>
    <n v="15"/>
    <n v="1.7"/>
    <n v="0.9"/>
    <n v="70.099999999999994"/>
    <n v="1.5"/>
    <x v="0"/>
    <s v="Average"/>
    <n v="41.235294117647058"/>
    <n v="3.2"/>
    <x v="1"/>
    <s v="No"/>
  </r>
  <r>
    <n v="137"/>
    <n v="16"/>
    <n v="3.2"/>
    <n v="7.5"/>
    <n v="92.8"/>
    <n v="2.4"/>
    <x v="1"/>
    <s v="High"/>
    <n v="28.999999999999996"/>
    <n v="5.6"/>
    <x v="0"/>
    <s v="No"/>
  </r>
  <r>
    <n v="138"/>
    <n v="14"/>
    <n v="3.1"/>
    <n v="2.2999999999999998"/>
    <n v="70.850753768844243"/>
    <n v="1.2"/>
    <x v="0"/>
    <s v="High"/>
    <n v="30"/>
    <n v="4.3"/>
    <x v="1"/>
    <s v="No"/>
  </r>
  <r>
    <n v="139"/>
    <n v="14"/>
    <n v="2"/>
    <n v="6.4"/>
    <n v="71.099999999999994"/>
    <n v="2"/>
    <x v="1"/>
    <s v="Average"/>
    <n v="35.549999999999997"/>
    <n v="4"/>
    <x v="1"/>
    <s v="No"/>
  </r>
  <r>
    <n v="140"/>
    <n v="17"/>
    <n v="0.4"/>
    <n v="2.8"/>
    <n v="81.3"/>
    <n v="1.1000000000000001"/>
    <x v="0"/>
    <s v="High"/>
    <n v="203.24999999999997"/>
    <n v="1.5"/>
    <x v="0"/>
    <s v="No"/>
  </r>
  <r>
    <n v="141"/>
    <n v="13"/>
    <n v="2.1"/>
    <n v="4.8"/>
    <n v="64.2"/>
    <n v="1.2"/>
    <x v="1"/>
    <s v="Average"/>
    <n v="30.571428571428573"/>
    <n v="3.3"/>
    <x v="1"/>
    <s v="No"/>
  </r>
  <r>
    <n v="142"/>
    <n v="17"/>
    <n v="2.6"/>
    <n v="2.6"/>
    <n v="60.9"/>
    <n v="1.4"/>
    <x v="0"/>
    <s v="Average"/>
    <n v="23.423076923076923"/>
    <n v="4"/>
    <x v="0"/>
    <s v="No"/>
  </r>
  <r>
    <n v="143"/>
    <n v="16"/>
    <n v="2.5"/>
    <n v="5.5"/>
    <n v="61.3"/>
    <n v="1.9"/>
    <x v="1"/>
    <s v="Average"/>
    <n v="24.52"/>
    <n v="4.4000000000000004"/>
    <x v="0"/>
    <s v="No"/>
  </r>
  <r>
    <n v="144"/>
    <n v="16"/>
    <n v="3.3"/>
    <n v="3.6"/>
    <n v="53.9"/>
    <n v="2.5"/>
    <x v="0"/>
    <s v="Average"/>
    <n v="16.333333333333332"/>
    <n v="5.8"/>
    <x v="0"/>
    <s v="No"/>
  </r>
  <r>
    <n v="145"/>
    <n v="16"/>
    <n v="4.4000000000000004"/>
    <n v="4.7"/>
    <n v="83.5"/>
    <n v="1.6"/>
    <x v="1"/>
    <s v="High"/>
    <n v="18.977272727272727"/>
    <n v="6"/>
    <x v="0"/>
    <s v="No"/>
  </r>
  <r>
    <n v="146"/>
    <n v="16"/>
    <n v="2.9"/>
    <n v="4"/>
    <n v="66.7"/>
    <n v="0.3"/>
    <x v="0"/>
    <s v="Average"/>
    <n v="23"/>
    <n v="3.1999999999999997"/>
    <x v="0"/>
    <s v="No"/>
  </r>
  <r>
    <n v="147"/>
    <n v="16"/>
    <n v="3.1"/>
    <n v="2"/>
    <n v="65.5"/>
    <n v="2"/>
    <x v="0"/>
    <s v="Average"/>
    <n v="21.129032258064516"/>
    <n v="5.0999999999999996"/>
    <x v="0"/>
    <s v="No"/>
  </r>
  <r>
    <n v="148"/>
    <n v="15"/>
    <n v="2.6"/>
    <n v="4.8"/>
    <n v="48.8"/>
    <n v="3.5"/>
    <x v="1"/>
    <s v="Low"/>
    <n v="18.769230769230766"/>
    <n v="6.1"/>
    <x v="1"/>
    <s v="Yes"/>
  </r>
  <r>
    <n v="149"/>
    <n v="14"/>
    <n v="3.7"/>
    <n v="3.2"/>
    <n v="55.7"/>
    <n v="1.6"/>
    <x v="0"/>
    <s v="Average"/>
    <n v="15.054054054054054"/>
    <n v="5.3000000000000007"/>
    <x v="1"/>
    <s v="No"/>
  </r>
  <r>
    <n v="150"/>
    <n v="16"/>
    <n v="3"/>
    <n v="5.6"/>
    <n v="84.7"/>
    <n v="0.1"/>
    <x v="1"/>
    <s v="High"/>
    <n v="28.233333333333334"/>
    <n v="3.1"/>
    <x v="0"/>
    <s v="No"/>
  </r>
  <r>
    <n v="151"/>
    <n v="13"/>
    <n v="3.2"/>
    <n v="3.6"/>
    <n v="73"/>
    <n v="1.6"/>
    <x v="0"/>
    <s v="Average"/>
    <n v="22.8125"/>
    <n v="4.8000000000000007"/>
    <x v="1"/>
    <s v="No"/>
  </r>
  <r>
    <n v="152"/>
    <n v="13"/>
    <n v="4.3"/>
    <n v="3.9"/>
    <n v="81.7"/>
    <n v="1.5"/>
    <x v="0"/>
    <s v="High"/>
    <n v="19"/>
    <n v="5.8"/>
    <x v="1"/>
    <s v="No"/>
  </r>
  <r>
    <n v="153"/>
    <n v="13"/>
    <n v="2.7"/>
    <n v="6.5"/>
    <n v="80.400000000000006"/>
    <n v="1.4"/>
    <x v="1"/>
    <s v="High"/>
    <n v="29.777777777777779"/>
    <n v="4.0999999999999996"/>
    <x v="1"/>
    <s v="No"/>
  </r>
  <r>
    <n v="154"/>
    <n v="13"/>
    <n v="2.2000000000000002"/>
    <n v="7.6"/>
    <n v="60"/>
    <n v="2.2999999999999998"/>
    <x v="1"/>
    <s v="Average"/>
    <n v="27.27272727272727"/>
    <n v="4.5"/>
    <x v="1"/>
    <s v="No"/>
  </r>
  <r>
    <n v="155"/>
    <n v="15"/>
    <n v="2.9"/>
    <n v="5.2"/>
    <n v="94.3"/>
    <n v="2.6"/>
    <x v="1"/>
    <s v="High"/>
    <n v="32.517241379310342"/>
    <n v="5.5"/>
    <x v="1"/>
    <s v="No"/>
  </r>
  <r>
    <n v="156"/>
    <n v="13"/>
    <n v="3.6"/>
    <n v="3.6"/>
    <n v="89.5"/>
    <n v="2"/>
    <x v="0"/>
    <s v="High"/>
    <n v="24.861111111111111"/>
    <n v="5.6"/>
    <x v="1"/>
    <s v="No"/>
  </r>
  <r>
    <n v="157"/>
    <n v="16"/>
    <n v="3"/>
    <n v="3.4"/>
    <n v="64.400000000000006"/>
    <n v="1.4"/>
    <x v="0"/>
    <s v="Average"/>
    <n v="21.466666666666669"/>
    <n v="4.4000000000000004"/>
    <x v="0"/>
    <s v="No"/>
  </r>
  <r>
    <n v="158"/>
    <n v="17"/>
    <n v="3.6"/>
    <n v="2.8"/>
    <n v="34.299999999999997"/>
    <n v="2.4"/>
    <x v="0"/>
    <s v="Low"/>
    <n v="9.5277777777777768"/>
    <n v="6"/>
    <x v="0"/>
    <s v="No"/>
  </r>
  <r>
    <n v="159"/>
    <n v="13"/>
    <n v="1.8"/>
    <n v="3.1"/>
    <n v="66.400000000000006"/>
    <n v="0.3"/>
    <x v="0"/>
    <s v="Average"/>
    <n v="36.888888888888893"/>
    <n v="2.1"/>
    <x v="1"/>
    <s v="No"/>
  </r>
  <r>
    <n v="160"/>
    <n v="15"/>
    <n v="1.6"/>
    <n v="3.6"/>
    <n v="72.400000000000006"/>
    <n v="0.9"/>
    <x v="0"/>
    <s v="Average"/>
    <n v="45.25"/>
    <n v="2.5"/>
    <x v="1"/>
    <s v="No"/>
  </r>
  <r>
    <n v="161"/>
    <n v="15"/>
    <n v="2"/>
    <n v="6.9"/>
    <n v="64.3"/>
    <n v="1"/>
    <x v="1"/>
    <s v="Average"/>
    <n v="32.15"/>
    <n v="3"/>
    <x v="1"/>
    <s v="No"/>
  </r>
  <r>
    <n v="162"/>
    <n v="13"/>
    <n v="1.2"/>
    <n v="3.7"/>
    <n v="67.8"/>
    <n v="1.5"/>
    <x v="0"/>
    <s v="Average"/>
    <n v="56.5"/>
    <n v="2.7"/>
    <x v="1"/>
    <s v="No"/>
  </r>
  <r>
    <n v="163"/>
    <n v="17"/>
    <n v="2.6"/>
    <n v="2.2000000000000002"/>
    <n v="61.7"/>
    <n v="1.9"/>
    <x v="0"/>
    <s v="Average"/>
    <n v="23.73076923076923"/>
    <n v="4.5"/>
    <x v="0"/>
    <s v="No"/>
  </r>
  <r>
    <n v="164"/>
    <n v="13"/>
    <n v="2.1"/>
    <n v="4.0999999999999996"/>
    <n v="79.2"/>
    <n v="1.3"/>
    <x v="1"/>
    <s v="High"/>
    <n v="37.714285714285715"/>
    <n v="3.4000000000000004"/>
    <x v="1"/>
    <s v="No"/>
  </r>
  <r>
    <n v="165"/>
    <n v="15"/>
    <n v="3.7"/>
    <n v="4.3"/>
    <n v="70.599999999999994"/>
    <n v="0.8"/>
    <x v="1"/>
    <s v="Average"/>
    <n v="19.081081081081077"/>
    <n v="4.5"/>
    <x v="1"/>
    <s v="No"/>
  </r>
  <r>
    <n v="166"/>
    <n v="14"/>
    <n v="1.2"/>
    <n v="4.0999999999999996"/>
    <n v="79.5"/>
    <n v="2.2999999999999998"/>
    <x v="1"/>
    <s v="High"/>
    <n v="66.25"/>
    <n v="3.5"/>
    <x v="1"/>
    <s v="No"/>
  </r>
  <r>
    <n v="167"/>
    <n v="16"/>
    <n v="4.0999999999999996"/>
    <n v="5.2"/>
    <n v="82.2"/>
    <n v="1.3"/>
    <x v="1"/>
    <s v="High"/>
    <n v="20.04878048780488"/>
    <n v="5.3999999999999995"/>
    <x v="0"/>
    <s v="No"/>
  </r>
  <r>
    <n v="168"/>
    <n v="15"/>
    <n v="1.5"/>
    <n v="4.0999999999999996"/>
    <n v="48.3"/>
    <n v="1.6"/>
    <x v="1"/>
    <s v="Low"/>
    <n v="32.199999999999996"/>
    <n v="3.1"/>
    <x v="1"/>
    <s v="Yes"/>
  </r>
  <r>
    <n v="169"/>
    <n v="13"/>
    <n v="1.3"/>
    <n v="5.2"/>
    <n v="62.3"/>
    <n v="1.9"/>
    <x v="1"/>
    <s v="Average"/>
    <n v="47.92307692307692"/>
    <n v="3.2"/>
    <x v="1"/>
    <s v="No"/>
  </r>
  <r>
    <n v="170"/>
    <n v="16"/>
    <n v="1.7"/>
    <n v="2.8"/>
    <n v="63.8"/>
    <n v="1.5"/>
    <x v="0"/>
    <s v="Average"/>
    <n v="37.529411764705884"/>
    <n v="3.2"/>
    <x v="0"/>
    <s v="No"/>
  </r>
  <r>
    <n v="171"/>
    <n v="13"/>
    <n v="4.5"/>
    <n v="4.013065326633166"/>
    <n v="95.7"/>
    <n v="1.5"/>
    <x v="0"/>
    <s v="High"/>
    <n v="21.266666666666666"/>
    <n v="6"/>
    <x v="1"/>
    <s v="No"/>
  </r>
  <r>
    <n v="172"/>
    <n v="13"/>
    <n v="2.5"/>
    <n v="4.4000000000000004"/>
    <n v="71.5"/>
    <n v="2.2999999999999998"/>
    <x v="1"/>
    <s v="Average"/>
    <n v="28.6"/>
    <n v="4.8"/>
    <x v="1"/>
    <s v="No"/>
  </r>
  <r>
    <n v="173"/>
    <n v="14"/>
    <n v="3"/>
    <n v="4.5999999999999996"/>
    <n v="70.850753768844243"/>
    <n v="1.6"/>
    <x v="1"/>
    <s v="High"/>
    <n v="30"/>
    <n v="4.5999999999999996"/>
    <x v="1"/>
    <s v="No"/>
  </r>
  <r>
    <n v="174"/>
    <n v="16"/>
    <n v="2.2999999999999998"/>
    <n v="2.8"/>
    <n v="51.2"/>
    <n v="2.2000000000000002"/>
    <x v="0"/>
    <s v="Average"/>
    <n v="22.260869565217394"/>
    <n v="4.5"/>
    <x v="0"/>
    <s v="No"/>
  </r>
  <r>
    <n v="175"/>
    <n v="16"/>
    <n v="2.4"/>
    <n v="4.7"/>
    <n v="71.400000000000006"/>
    <n v="1.9"/>
    <x v="1"/>
    <s v="Average"/>
    <n v="29.750000000000004"/>
    <n v="4.3"/>
    <x v="0"/>
    <s v="No"/>
  </r>
  <r>
    <n v="176"/>
    <n v="14"/>
    <n v="2"/>
    <n v="5"/>
    <n v="79.8"/>
    <n v="3.1"/>
    <x v="1"/>
    <s v="High"/>
    <n v="39.9"/>
    <n v="5.0999999999999996"/>
    <x v="1"/>
    <s v="No"/>
  </r>
  <r>
    <n v="177"/>
    <n v="15"/>
    <n v="2.6"/>
    <n v="2.2000000000000002"/>
    <n v="78.599999999999994"/>
    <n v="1.8"/>
    <x v="0"/>
    <s v="High"/>
    <n v="30.230769230769226"/>
    <n v="4.4000000000000004"/>
    <x v="1"/>
    <s v="No"/>
  </r>
  <r>
    <n v="178"/>
    <n v="13"/>
    <n v="3"/>
    <n v="1.5"/>
    <n v="76.2"/>
    <n v="2"/>
    <x v="0"/>
    <s v="High"/>
    <n v="25.400000000000002"/>
    <n v="5"/>
    <x v="1"/>
    <s v="No"/>
  </r>
  <r>
    <n v="179"/>
    <n v="17"/>
    <n v="4.2"/>
    <n v="4.4000000000000004"/>
    <n v="70.099999999999994"/>
    <n v="2.4"/>
    <x v="1"/>
    <s v="Average"/>
    <n v="16.69047619047619"/>
    <n v="6.6"/>
    <x v="0"/>
    <s v="No"/>
  </r>
  <r>
    <n v="180"/>
    <n v="13"/>
    <n v="0.6"/>
    <n v="3.3"/>
    <n v="70.599999999999994"/>
    <n v="1.6"/>
    <x v="0"/>
    <s v="Average"/>
    <n v="117.66666666666666"/>
    <n v="2.2000000000000002"/>
    <x v="1"/>
    <s v="No"/>
  </r>
  <r>
    <n v="181"/>
    <n v="13"/>
    <n v="4.0999999999999996"/>
    <n v="4.4000000000000004"/>
    <n v="53.1"/>
    <n v="1"/>
    <x v="1"/>
    <s v="Average"/>
    <n v="12.951219512195124"/>
    <n v="5.0999999999999996"/>
    <x v="1"/>
    <s v="No"/>
  </r>
  <r>
    <n v="182"/>
    <n v="15"/>
    <n v="3"/>
    <n v="2.1"/>
    <n v="61"/>
    <n v="1.1000000000000001"/>
    <x v="0"/>
    <s v="Average"/>
    <n v="20.333333333333332"/>
    <n v="4.0999999999999996"/>
    <x v="1"/>
    <s v="No"/>
  </r>
  <r>
    <n v="183"/>
    <n v="13"/>
    <n v="2.1"/>
    <n v="1.7"/>
    <n v="72.3"/>
    <n v="1.1000000000000001"/>
    <x v="0"/>
    <s v="Average"/>
    <n v="34.428571428571423"/>
    <n v="3.2"/>
    <x v="1"/>
    <s v="No"/>
  </r>
  <r>
    <n v="184"/>
    <n v="14"/>
    <n v="2"/>
    <n v="4.3"/>
    <n v="62.8"/>
    <n v="0.7"/>
    <x v="1"/>
    <s v="Average"/>
    <n v="31.4"/>
    <n v="2.7"/>
    <x v="1"/>
    <s v="No"/>
  </r>
  <r>
    <n v="185"/>
    <n v="14"/>
    <n v="3.5"/>
    <n v="3.5"/>
    <n v="76.900000000000006"/>
    <n v="1.8"/>
    <x v="0"/>
    <s v="High"/>
    <n v="21.971428571428572"/>
    <n v="5.3"/>
    <x v="1"/>
    <s v="No"/>
  </r>
  <r>
    <n v="186"/>
    <n v="16"/>
    <n v="2.7"/>
    <n v="4.013065326633166"/>
    <n v="74.7"/>
    <n v="1"/>
    <x v="0"/>
    <s v="Average"/>
    <n v="27.666666666666664"/>
    <n v="3.7"/>
    <x v="0"/>
    <s v="No"/>
  </r>
  <r>
    <n v="187"/>
    <n v="17"/>
    <n v="1"/>
    <n v="6"/>
    <n v="83.7"/>
    <n v="1.7"/>
    <x v="1"/>
    <s v="High"/>
    <n v="83.7"/>
    <n v="2.7"/>
    <x v="0"/>
    <s v="No"/>
  </r>
  <r>
    <n v="188"/>
    <n v="13"/>
    <n v="2.9"/>
    <n v="2"/>
    <n v="79.599999999999994"/>
    <n v="1.4"/>
    <x v="0"/>
    <s v="High"/>
    <n v="27.448275862068964"/>
    <n v="4.3"/>
    <x v="1"/>
    <s v="No"/>
  </r>
  <r>
    <n v="189"/>
    <n v="13"/>
    <n v="3.6"/>
    <n v="7.9"/>
    <n v="72.3"/>
    <n v="1.5"/>
    <x v="1"/>
    <s v="Average"/>
    <n v="20.083333333333332"/>
    <n v="5.0999999999999996"/>
    <x v="1"/>
    <s v="No"/>
  </r>
  <r>
    <n v="190"/>
    <n v="15"/>
    <n v="3.4"/>
    <n v="3.1"/>
    <n v="77.5"/>
    <n v="1.9"/>
    <x v="0"/>
    <s v="High"/>
    <n v="22.794117647058822"/>
    <n v="5.3"/>
    <x v="1"/>
    <s v="No"/>
  </r>
  <r>
    <n v="191"/>
    <n v="14"/>
    <n v="1.9"/>
    <n v="4.5999999999999996"/>
    <n v="80.099999999999994"/>
    <n v="1.1000000000000001"/>
    <x v="1"/>
    <s v="High"/>
    <n v="42.157894736842103"/>
    <n v="3"/>
    <x v="1"/>
    <s v="No"/>
  </r>
  <r>
    <n v="192"/>
    <n v="17"/>
    <n v="1.2"/>
    <n v="6.5"/>
    <n v="64.900000000000006"/>
    <n v="2"/>
    <x v="1"/>
    <s v="Average"/>
    <n v="54.083333333333343"/>
    <n v="3.2"/>
    <x v="0"/>
    <s v="No"/>
  </r>
  <r>
    <n v="193"/>
    <n v="16"/>
    <n v="2.2000000000000002"/>
    <n v="6.2"/>
    <n v="66.7"/>
    <n v="2.8"/>
    <x v="1"/>
    <s v="Average"/>
    <n v="30.318181818181817"/>
    <n v="5"/>
    <x v="0"/>
    <s v="No"/>
  </r>
  <r>
    <n v="194"/>
    <n v="14"/>
    <n v="5.8"/>
    <n v="7"/>
    <n v="69"/>
    <n v="1.8"/>
    <x v="1"/>
    <s v="Average"/>
    <n v="11.896551724137931"/>
    <n v="7.6"/>
    <x v="1"/>
    <s v="No"/>
  </r>
  <r>
    <n v="195"/>
    <n v="16"/>
    <n v="1"/>
    <n v="1.7"/>
    <n v="65.2"/>
    <n v="0.9"/>
    <x v="0"/>
    <s v="Average"/>
    <n v="65.2"/>
    <n v="1.9"/>
    <x v="0"/>
    <s v="No"/>
  </r>
  <r>
    <n v="196"/>
    <n v="15"/>
    <n v="1.7"/>
    <n v="2.2999999999999998"/>
    <n v="80.2"/>
    <n v="1"/>
    <x v="0"/>
    <s v="High"/>
    <n v="47.176470588235297"/>
    <n v="2.7"/>
    <x v="1"/>
    <s v="No"/>
  </r>
  <r>
    <n v="197"/>
    <n v="15"/>
    <n v="2.9"/>
    <n v="4.3"/>
    <n v="63.7"/>
    <n v="1.3"/>
    <x v="1"/>
    <s v="Average"/>
    <n v="21.965517241379313"/>
    <n v="4.2"/>
    <x v="1"/>
    <s v="No"/>
  </r>
  <r>
    <n v="198"/>
    <n v="13"/>
    <n v="2.4"/>
    <n v="5.3"/>
    <n v="82.5"/>
    <n v="1"/>
    <x v="1"/>
    <s v="High"/>
    <n v="34.375"/>
    <n v="3.4"/>
    <x v="1"/>
    <s v="No"/>
  </r>
  <r>
    <n v="199"/>
    <n v="17"/>
    <n v="2.2999999999999998"/>
    <n v="4"/>
    <n v="66.3"/>
    <n v="0.7"/>
    <x v="0"/>
    <s v="Average"/>
    <n v="28.826086956521738"/>
    <n v="3"/>
    <x v="0"/>
    <s v="No"/>
  </r>
  <r>
    <n v="200"/>
    <n v="16"/>
    <n v="4.5"/>
    <n v="1.5"/>
    <n v="74.7"/>
    <n v="1.6"/>
    <x v="0"/>
    <s v="Average"/>
    <n v="16.600000000000001"/>
    <n v="6.1"/>
    <x v="0"/>
    <s v="No"/>
  </r>
  <r>
    <n v="132"/>
    <n v="17"/>
    <n v="4.4000000000000004"/>
    <n v="5.8"/>
    <n v="79.099999999999994"/>
    <n v="1.5"/>
    <x v="1"/>
    <s v="High"/>
    <n v="17.977272727272723"/>
    <n v="5.9"/>
    <x v="0"/>
    <s v="No"/>
  </r>
  <r>
    <n v="46"/>
    <n v="13"/>
    <n v="1.8"/>
    <n v="4.9000000000000004"/>
    <n v="74.599999999999994"/>
    <n v="1.6"/>
    <x v="1"/>
    <s v="Average"/>
    <n v="41.444444444444443"/>
    <n v="3.4000000000000004"/>
    <x v="1"/>
    <s v="No"/>
  </r>
  <r>
    <n v="129"/>
    <n v="17"/>
    <n v="2.8"/>
    <n v="4.7"/>
    <n v="58.1"/>
    <n v="1"/>
    <x v="1"/>
    <s v="Average"/>
    <n v="20.750000000000004"/>
    <n v="3.8"/>
    <x v="0"/>
    <s v="No"/>
  </r>
  <r>
    <n v="24"/>
    <n v="13"/>
    <n v="3.2"/>
    <n v="2.6"/>
    <n v="53.2"/>
    <n v="0"/>
    <x v="0"/>
    <s v="Average"/>
    <n v="16.625"/>
    <n v="3.2"/>
    <x v="1"/>
    <s v="No"/>
  </r>
  <r>
    <n v="39"/>
    <n v="13"/>
    <n v="2.4"/>
    <n v="3.2"/>
    <n v="76.7"/>
    <n v="1.8"/>
    <x v="0"/>
    <s v="High"/>
    <n v="31.958333333333336"/>
    <n v="4.2"/>
    <x v="1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1"/>
    <n v="16"/>
    <n v="2.5"/>
    <n v="2.7"/>
    <x v="0"/>
    <n v="1.6"/>
    <s v="Low screen time"/>
    <s v="High"/>
    <n v="30"/>
    <n v="4.0999999999999996"/>
    <s v="Older Student"/>
    <s v="No"/>
    <x v="0"/>
  </r>
  <r>
    <n v="2"/>
    <n v="17"/>
    <n v="2.7"/>
    <n v="4"/>
    <x v="1"/>
    <n v="0.7"/>
    <s v="Low screen time"/>
    <s v="Average"/>
    <n v="25.222222222222218"/>
    <n v="3.4000000000000004"/>
    <s v="Older Student"/>
    <s v="No"/>
    <x v="0"/>
  </r>
  <r>
    <n v="3"/>
    <n v="15"/>
    <n v="3"/>
    <n v="4.3"/>
    <x v="2"/>
    <n v="1.5"/>
    <s v="High screen time"/>
    <s v="Average"/>
    <n v="22.633333333333336"/>
    <n v="4.5"/>
    <s v="Teen"/>
    <s v="No"/>
    <x v="1"/>
  </r>
  <r>
    <n v="4"/>
    <n v="17"/>
    <n v="3"/>
    <n v="2.8"/>
    <x v="3"/>
    <n v="1.8"/>
    <s v="Low screen time"/>
    <s v="Low"/>
    <n v="15.733333333333334"/>
    <n v="4.8"/>
    <s v="Older Student"/>
    <s v="No"/>
    <x v="0"/>
  </r>
  <r>
    <n v="5"/>
    <n v="17"/>
    <n v="2.5577889447236175"/>
    <n v="1.8"/>
    <x v="4"/>
    <n v="1.4"/>
    <s v="Low screen time"/>
    <s v="High"/>
    <n v="30"/>
    <n v="4.0999999999999996"/>
    <s v="Older Student"/>
    <s v="No"/>
    <x v="2"/>
  </r>
  <r>
    <n v="6"/>
    <n v="14"/>
    <n v="1.3"/>
    <n v="4.4000000000000004"/>
    <x v="5"/>
    <n v="0.4"/>
    <s v="High screen time"/>
    <s v="Average"/>
    <n v="55"/>
    <n v="1.7000000000000002"/>
    <s v="Teen"/>
    <s v="No"/>
    <x v="1"/>
  </r>
  <r>
    <n v="7"/>
    <n v="15"/>
    <n v="3.3"/>
    <n v="6.7"/>
    <x v="6"/>
    <n v="2.9"/>
    <s v="High screen time"/>
    <s v="High"/>
    <n v="26.666666666666668"/>
    <n v="6.1999999999999993"/>
    <s v="Teen"/>
    <s v="No"/>
    <x v="3"/>
  </r>
  <r>
    <n v="8"/>
    <n v="15"/>
    <n v="2.9"/>
    <n v="4.5999999999999996"/>
    <x v="7"/>
    <n v="1.6"/>
    <s v="High screen time"/>
    <s v="Average"/>
    <n v="23.896551724137932"/>
    <n v="4.5"/>
    <s v="Teen"/>
    <s v="No"/>
    <x v="1"/>
  </r>
  <r>
    <n v="9"/>
    <n v="15"/>
    <n v="1.4"/>
    <n v="4.0999999999999996"/>
    <x v="8"/>
    <n v="0.9"/>
    <s v="High screen time"/>
    <s v="High"/>
    <n v="54.071428571428577"/>
    <n v="2.2999999999999998"/>
    <s v="Teen"/>
    <s v="No"/>
    <x v="1"/>
  </r>
  <r>
    <n v="10"/>
    <n v="17"/>
    <n v="1.8"/>
    <n v="4.0999999999999996"/>
    <x v="9"/>
    <n v="2.8"/>
    <s v="High screen time"/>
    <s v="High"/>
    <n v="43.5"/>
    <n v="4.5999999999999996"/>
    <s v="Older Student"/>
    <s v="No"/>
    <x v="1"/>
  </r>
  <r>
    <n v="11"/>
    <n v="16"/>
    <n v="3.4"/>
    <n v="3.6"/>
    <x v="10"/>
    <n v="2"/>
    <s v="Low screen time"/>
    <s v="Average"/>
    <n v="15.441176470588236"/>
    <n v="5.4"/>
    <s v="Older Student"/>
    <s v="No"/>
    <x v="0"/>
  </r>
  <r>
    <n v="12"/>
    <n v="15"/>
    <n v="3.1"/>
    <n v="5.8"/>
    <x v="11"/>
    <n v="0.5"/>
    <s v="High screen time"/>
    <s v="High"/>
    <n v="31.032258064516128"/>
    <n v="3.6"/>
    <s v="Teen"/>
    <s v="No"/>
    <x v="1"/>
  </r>
  <r>
    <n v="13"/>
    <n v="17"/>
    <n v="1.8"/>
    <n v="4.013065326633166"/>
    <x v="12"/>
    <n v="0.7"/>
    <s v="Low screen time"/>
    <s v="Average"/>
    <n v="36.5"/>
    <n v="2.5"/>
    <s v="Older Student"/>
    <s v="No"/>
    <x v="0"/>
  </r>
  <r>
    <n v="14"/>
    <n v="14"/>
    <n v="2.2000000000000002"/>
    <n v="2"/>
    <x v="13"/>
    <n v="1.3"/>
    <s v="Low screen time"/>
    <s v="Average"/>
    <n v="34.045454545454547"/>
    <n v="3.5"/>
    <s v="Teen"/>
    <s v="No"/>
    <x v="2"/>
  </r>
  <r>
    <n v="15"/>
    <n v="16"/>
    <n v="2.4"/>
    <n v="1.6"/>
    <x v="14"/>
    <n v="1.7"/>
    <s v="Low screen time"/>
    <s v="High"/>
    <n v="31.833333333333336"/>
    <n v="4.0999999999999996"/>
    <s v="Older Student"/>
    <s v="No"/>
    <x v="2"/>
  </r>
  <r>
    <n v="16"/>
    <n v="14"/>
    <n v="3.1"/>
    <n v="4.0999999999999996"/>
    <x v="15"/>
    <n v="2"/>
    <s v="High screen time"/>
    <s v="Average"/>
    <n v="19.967741935483868"/>
    <n v="5.0999999999999996"/>
    <s v="Teen"/>
    <s v="No"/>
    <x v="1"/>
  </r>
  <r>
    <n v="17"/>
    <n v="16"/>
    <n v="3.7"/>
    <n v="5.6"/>
    <x v="16"/>
    <n v="2.2999999999999998"/>
    <s v="High screen time"/>
    <s v="High"/>
    <n v="23.918918918918919"/>
    <n v="6"/>
    <s v="Older Student"/>
    <s v="No"/>
    <x v="1"/>
  </r>
  <r>
    <n v="18"/>
    <n v="17"/>
    <n v="2.6"/>
    <n v="4.4000000000000004"/>
    <x v="17"/>
    <n v="1.9"/>
    <s v="High screen time"/>
    <s v="Average"/>
    <n v="27.961538461538463"/>
    <n v="4.5"/>
    <s v="Older Student"/>
    <s v="No"/>
    <x v="1"/>
  </r>
  <r>
    <n v="19"/>
    <n v="13"/>
    <n v="2.5577889447236175"/>
    <n v="3.5"/>
    <x v="2"/>
    <n v="2.6"/>
    <s v="Low screen time"/>
    <s v="Average"/>
    <n v="30"/>
    <n v="4.0999999999999996"/>
    <s v="Teen"/>
    <s v="No"/>
    <x v="0"/>
  </r>
  <r>
    <n v="20"/>
    <n v="16"/>
    <n v="3.4"/>
    <n v="4.7"/>
    <x v="18"/>
    <n v="1.6"/>
    <s v="High screen time"/>
    <s v="Average"/>
    <n v="21.000000000000004"/>
    <n v="5"/>
    <s v="Older Student"/>
    <s v="No"/>
    <x v="1"/>
  </r>
  <r>
    <n v="21"/>
    <n v="14"/>
    <n v="2.7"/>
    <n v="4.3"/>
    <x v="19"/>
    <n v="0.9"/>
    <s v="High screen time"/>
    <s v="High"/>
    <n v="28.740740740740737"/>
    <n v="3.6"/>
    <s v="Teen"/>
    <s v="No"/>
    <x v="1"/>
  </r>
  <r>
    <n v="22"/>
    <n v="17"/>
    <n v="1.1000000000000001"/>
    <n v="5.2"/>
    <x v="20"/>
    <n v="1.5"/>
    <s v="High screen time"/>
    <s v="Average"/>
    <n v="63.72727272727272"/>
    <n v="2.6"/>
    <s v="Older Student"/>
    <s v="No"/>
    <x v="1"/>
  </r>
  <r>
    <n v="23"/>
    <n v="16"/>
    <n v="1.5"/>
    <n v="6"/>
    <x v="21"/>
    <n v="1.4"/>
    <s v="High screen time"/>
    <s v="High"/>
    <n v="52.533333333333331"/>
    <n v="2.9"/>
    <s v="Older Student"/>
    <s v="No"/>
    <x v="1"/>
  </r>
  <r>
    <n v="24"/>
    <n v="13"/>
    <n v="3.2"/>
    <n v="2.6"/>
    <x v="22"/>
    <n v="0"/>
    <s v="Low screen time"/>
    <s v="Average"/>
    <n v="16.625"/>
    <n v="3.2"/>
    <s v="Teen"/>
    <s v="No"/>
    <x v="0"/>
  </r>
  <r>
    <n v="25"/>
    <n v="13"/>
    <n v="0.8"/>
    <n v="0.5"/>
    <x v="23"/>
    <n v="1.1000000000000001"/>
    <s v="Low screen time"/>
    <s v="Average"/>
    <n v="78.125"/>
    <n v="1.9000000000000001"/>
    <s v="Teen"/>
    <s v="No"/>
    <x v="2"/>
  </r>
  <r>
    <n v="26"/>
    <n v="15"/>
    <n v="2.6"/>
    <n v="3.5"/>
    <x v="24"/>
    <n v="1.8"/>
    <s v="Low screen time"/>
    <s v="Low"/>
    <n v="18.692307692307693"/>
    <n v="4.4000000000000004"/>
    <s v="Teen"/>
    <s v="No"/>
    <x v="0"/>
  </r>
  <r>
    <n v="27"/>
    <n v="15"/>
    <n v="3.5"/>
    <n v="2.5"/>
    <x v="25"/>
    <n v="1.2"/>
    <s v="Low screen time"/>
    <s v="High"/>
    <n v="25.714285714285715"/>
    <n v="4.7"/>
    <s v="Teen"/>
    <s v="No"/>
    <x v="0"/>
  </r>
  <r>
    <n v="28"/>
    <n v="14"/>
    <n v="2.7"/>
    <n v="5.2"/>
    <x v="26"/>
    <n v="1"/>
    <s v="High screen time"/>
    <s v="High"/>
    <n v="33.25925925925926"/>
    <n v="3.7"/>
    <s v="Teen"/>
    <s v="No"/>
    <x v="1"/>
  </r>
  <r>
    <n v="29"/>
    <n v="16"/>
    <n v="1.9"/>
    <n v="2.9"/>
    <x v="27"/>
    <n v="2.2000000000000002"/>
    <s v="Low screen time"/>
    <s v="High"/>
    <n v="40.157894736842103"/>
    <n v="4.0999999999999996"/>
    <s v="Older Student"/>
    <s v="No"/>
    <x v="0"/>
  </r>
  <r>
    <n v="30"/>
    <n v="16"/>
    <n v="1.7"/>
    <n v="1.2"/>
    <x v="28"/>
    <n v="0.8"/>
    <s v="Low screen time"/>
    <s v="Average"/>
    <n v="35.235294117647058"/>
    <n v="2.5"/>
    <s v="Older Student"/>
    <s v="No"/>
    <x v="2"/>
  </r>
  <r>
    <n v="31"/>
    <n v="15"/>
    <n v="3.3"/>
    <n v="3.1"/>
    <x v="29"/>
    <n v="2.1"/>
    <s v="Low screen time"/>
    <s v="High"/>
    <n v="28.454545454545457"/>
    <n v="5.4"/>
    <s v="Teen"/>
    <s v="No"/>
    <x v="0"/>
  </r>
  <r>
    <n v="32"/>
    <n v="16"/>
    <n v="3"/>
    <n v="1.8"/>
    <x v="30"/>
    <n v="0.4"/>
    <s v="Low screen time"/>
    <s v="Average"/>
    <n v="21.333333333333332"/>
    <n v="3.4"/>
    <s v="Older Student"/>
    <s v="No"/>
    <x v="2"/>
  </r>
  <r>
    <n v="33"/>
    <n v="16"/>
    <n v="2.2000000000000002"/>
    <n v="6.4"/>
    <x v="2"/>
    <n v="3.7"/>
    <s v="High screen time"/>
    <s v="Average"/>
    <n v="30.863636363636363"/>
    <n v="5.9"/>
    <s v="Older Student"/>
    <s v="No"/>
    <x v="3"/>
  </r>
  <r>
    <n v="34"/>
    <n v="13"/>
    <n v="3.6"/>
    <n v="4.7"/>
    <x v="31"/>
    <n v="1.3"/>
    <s v="High screen time"/>
    <s v="Average"/>
    <n v="19.888888888888886"/>
    <n v="4.9000000000000004"/>
    <s v="Teen"/>
    <s v="No"/>
    <x v="1"/>
  </r>
  <r>
    <n v="35"/>
    <n v="15"/>
    <n v="3.4"/>
    <n v="5"/>
    <x v="32"/>
    <n v="1.2"/>
    <s v="High screen time"/>
    <s v="Average"/>
    <n v="21.911764705882355"/>
    <n v="4.5999999999999996"/>
    <s v="Teen"/>
    <s v="No"/>
    <x v="1"/>
  </r>
  <r>
    <n v="36"/>
    <n v="17"/>
    <n v="4.3"/>
    <n v="4.8"/>
    <x v="14"/>
    <n v="2.4"/>
    <s v="High screen time"/>
    <s v="High"/>
    <n v="17.767441860465119"/>
    <n v="6.6999999999999993"/>
    <s v="Older Student"/>
    <s v="No"/>
    <x v="1"/>
  </r>
  <r>
    <n v="37"/>
    <n v="15"/>
    <n v="3.1"/>
    <n v="5.3"/>
    <x v="33"/>
    <n v="1.2"/>
    <s v="High screen time"/>
    <s v="High"/>
    <n v="24.774193548387096"/>
    <n v="4.3"/>
    <s v="Teen"/>
    <s v="No"/>
    <x v="1"/>
  </r>
  <r>
    <n v="38"/>
    <n v="17"/>
    <n v="2.2999999999999998"/>
    <n v="5.7"/>
    <x v="34"/>
    <n v="2.7"/>
    <s v="High screen time"/>
    <s v="High"/>
    <n v="30"/>
    <n v="5"/>
    <s v="Older Student"/>
    <s v="No"/>
    <x v="1"/>
  </r>
  <r>
    <n v="39"/>
    <n v="13"/>
    <n v="2.4"/>
    <n v="3.2"/>
    <x v="35"/>
    <n v="1.8"/>
    <s v="Low screen time"/>
    <s v="High"/>
    <n v="31.958333333333336"/>
    <n v="4.2"/>
    <s v="Teen"/>
    <s v="No"/>
    <x v="0"/>
  </r>
  <r>
    <n v="40"/>
    <n v="14"/>
    <n v="0.6"/>
    <n v="1.9"/>
    <x v="34"/>
    <n v="1.4"/>
    <s v="Low screen time"/>
    <s v="High"/>
    <n v="30"/>
    <n v="2"/>
    <s v="Teen"/>
    <s v="No"/>
    <x v="2"/>
  </r>
  <r>
    <n v="41"/>
    <n v="16"/>
    <n v="2.7"/>
    <n v="2.7"/>
    <x v="36"/>
    <n v="1.3"/>
    <s v="Low screen time"/>
    <s v="High"/>
    <n v="28.074074074074073"/>
    <n v="4"/>
    <s v="Older Student"/>
    <s v="No"/>
    <x v="0"/>
  </r>
  <r>
    <n v="42"/>
    <n v="13"/>
    <n v="2.5577889447236175"/>
    <n v="3.9"/>
    <x v="0"/>
    <n v="2.5"/>
    <s v="Low screen time"/>
    <s v="High"/>
    <n v="30"/>
    <n v="4.0999999999999996"/>
    <s v="Teen"/>
    <s v="No"/>
    <x v="0"/>
  </r>
  <r>
    <n v="43"/>
    <n v="16"/>
    <n v="1.2"/>
    <n v="0.2"/>
    <x v="19"/>
    <n v="1.7"/>
    <s v="Low screen time"/>
    <s v="High"/>
    <n v="64.666666666666671"/>
    <n v="2.9"/>
    <s v="Older Student"/>
    <s v="No"/>
    <x v="2"/>
  </r>
  <r>
    <n v="44"/>
    <n v="14"/>
    <n v="2.5"/>
    <n v="5.7"/>
    <x v="14"/>
    <n v="1.8"/>
    <s v="High screen time"/>
    <s v="High"/>
    <n v="30.560000000000002"/>
    <n v="4.3"/>
    <s v="Teen"/>
    <s v="No"/>
    <x v="1"/>
  </r>
  <r>
    <n v="45"/>
    <n v="14"/>
    <n v="3.8"/>
    <n v="1.2"/>
    <x v="37"/>
    <n v="1.9"/>
    <s v="Low screen time"/>
    <s v="Average"/>
    <n v="17.263157894736842"/>
    <n v="5.6999999999999993"/>
    <s v="Teen"/>
    <s v="No"/>
    <x v="2"/>
  </r>
  <r>
    <n v="46"/>
    <n v="13"/>
    <n v="1.8"/>
    <n v="4.9000000000000004"/>
    <x v="38"/>
    <n v="1.6"/>
    <s v="High screen time"/>
    <s v="Average"/>
    <n v="41.444444444444443"/>
    <n v="3.4000000000000004"/>
    <s v="Teen"/>
    <s v="No"/>
    <x v="1"/>
  </r>
  <r>
    <n v="47"/>
    <n v="14"/>
    <n v="1.5"/>
    <n v="3.7"/>
    <x v="39"/>
    <n v="1.9"/>
    <s v="Low screen time"/>
    <s v="High"/>
    <n v="51"/>
    <n v="3.4"/>
    <s v="Teen"/>
    <s v="No"/>
    <x v="0"/>
  </r>
  <r>
    <n v="48"/>
    <n v="17"/>
    <n v="3.6"/>
    <n v="4.4000000000000004"/>
    <x v="40"/>
    <n v="1.4"/>
    <s v="High screen time"/>
    <s v="Average"/>
    <n v="15.861111111111111"/>
    <n v="5"/>
    <s v="Older Student"/>
    <s v="No"/>
    <x v="1"/>
  </r>
  <r>
    <n v="49"/>
    <n v="14"/>
    <n v="3.1"/>
    <n v="3.3"/>
    <x v="41"/>
    <n v="1.5"/>
    <s v="Low screen time"/>
    <s v="Average"/>
    <n v="21.709677419354836"/>
    <n v="4.5999999999999996"/>
    <s v="Teen"/>
    <s v="No"/>
    <x v="0"/>
  </r>
  <r>
    <n v="50"/>
    <n v="16"/>
    <n v="5.6"/>
    <n v="4.3"/>
    <x v="42"/>
    <n v="0.6"/>
    <s v="High screen time"/>
    <s v="High"/>
    <n v="13.589285714285714"/>
    <n v="6.1999999999999993"/>
    <s v="Older Student"/>
    <s v="No"/>
    <x v="1"/>
  </r>
  <r>
    <n v="51"/>
    <n v="16"/>
    <n v="1.2"/>
    <n v="3.3"/>
    <x v="43"/>
    <n v="1.7"/>
    <s v="Low screen time"/>
    <s v="High"/>
    <n v="72.583333333333329"/>
    <n v="2.9"/>
    <s v="Older Student"/>
    <s v="No"/>
    <x v="0"/>
  </r>
  <r>
    <n v="52"/>
    <n v="16"/>
    <n v="3.2"/>
    <n v="3.2"/>
    <x v="44"/>
    <n v="0.1"/>
    <s v="Low screen time"/>
    <s v="High"/>
    <n v="24.4375"/>
    <n v="3.3000000000000003"/>
    <s v="Older Student"/>
    <s v="No"/>
    <x v="0"/>
  </r>
  <r>
    <n v="53"/>
    <n v="16"/>
    <n v="2.8"/>
    <n v="2.7"/>
    <x v="45"/>
    <n v="1.7"/>
    <s v="Low screen time"/>
    <s v="High"/>
    <n v="31.321428571428573"/>
    <n v="4.5"/>
    <s v="Older Student"/>
    <s v="No"/>
    <x v="0"/>
  </r>
  <r>
    <n v="54"/>
    <n v="17"/>
    <n v="2.6"/>
    <n v="4.013065326633166"/>
    <x v="46"/>
    <n v="1.3"/>
    <s v="Low screen time"/>
    <s v="Average"/>
    <n v="25.384615384615383"/>
    <n v="3.9000000000000004"/>
    <s v="Older Student"/>
    <s v="No"/>
    <x v="0"/>
  </r>
  <r>
    <n v="55"/>
    <n v="15"/>
    <n v="3.4"/>
    <n v="4.5999999999999996"/>
    <x v="47"/>
    <n v="1.8"/>
    <s v="High screen time"/>
    <s v="Average"/>
    <n v="21.323529411764707"/>
    <n v="5.2"/>
    <s v="Teen"/>
    <s v="No"/>
    <x v="1"/>
  </r>
  <r>
    <n v="56"/>
    <n v="13"/>
    <n v="2.5"/>
    <n v="4.3"/>
    <x v="48"/>
    <n v="0.7"/>
    <s v="High screen time"/>
    <s v="High"/>
    <n v="31.24"/>
    <n v="3.2"/>
    <s v="Teen"/>
    <s v="No"/>
    <x v="1"/>
  </r>
  <r>
    <n v="57"/>
    <n v="16"/>
    <n v="0.6"/>
    <n v="2.7"/>
    <x v="49"/>
    <n v="0"/>
    <s v="Low screen time"/>
    <s v="Low"/>
    <n v="77.833333333333343"/>
    <n v="0.6"/>
    <s v="Older Student"/>
    <s v="No"/>
    <x v="0"/>
  </r>
  <r>
    <n v="58"/>
    <n v="14"/>
    <n v="1.7"/>
    <n v="3.6"/>
    <x v="34"/>
    <n v="1.2"/>
    <s v="Low screen time"/>
    <s v="High"/>
    <n v="30"/>
    <n v="2.9"/>
    <s v="Teen"/>
    <s v="No"/>
    <x v="0"/>
  </r>
  <r>
    <n v="59"/>
    <n v="16"/>
    <n v="3.9"/>
    <n v="2.5"/>
    <x v="50"/>
    <n v="0.7"/>
    <s v="Low screen time"/>
    <s v="Average"/>
    <n v="13.179487179487179"/>
    <n v="4.5999999999999996"/>
    <s v="Older Student"/>
    <s v="No"/>
    <x v="0"/>
  </r>
  <r>
    <n v="60"/>
    <n v="14"/>
    <n v="3.7"/>
    <n v="3.3"/>
    <x v="51"/>
    <n v="0.1"/>
    <s v="Low screen time"/>
    <s v="High"/>
    <n v="21.621621621621621"/>
    <n v="3.8000000000000003"/>
    <s v="Teen"/>
    <s v="No"/>
    <x v="0"/>
  </r>
  <r>
    <n v="61"/>
    <n v="14"/>
    <n v="2.1"/>
    <n v="2.2000000000000002"/>
    <x v="52"/>
    <n v="2.1"/>
    <s v="Low screen time"/>
    <s v="High"/>
    <n v="36.61904761904762"/>
    <n v="4.2"/>
    <s v="Teen"/>
    <s v="No"/>
    <x v="0"/>
  </r>
  <r>
    <n v="62"/>
    <n v="16"/>
    <n v="3"/>
    <n v="6.4"/>
    <x v="53"/>
    <n v="2.8"/>
    <s v="High screen time"/>
    <s v="Low"/>
    <n v="15.533333333333333"/>
    <n v="5.8"/>
    <s v="Older Student"/>
    <s v="Yes"/>
    <x v="3"/>
  </r>
  <r>
    <n v="63"/>
    <n v="17"/>
    <n v="5.3"/>
    <n v="4.013065326633166"/>
    <x v="54"/>
    <n v="0.9"/>
    <s v="Low screen time"/>
    <s v="Low"/>
    <n v="8.8867924528301891"/>
    <n v="6.2"/>
    <s v="Older Student"/>
    <s v="No"/>
    <x v="0"/>
  </r>
  <r>
    <n v="64"/>
    <n v="14"/>
    <n v="2.5"/>
    <n v="2.7"/>
    <x v="34"/>
    <n v="1.4"/>
    <s v="Low screen time"/>
    <s v="High"/>
    <n v="30"/>
    <n v="3.9"/>
    <s v="Teen"/>
    <s v="No"/>
    <x v="0"/>
  </r>
  <r>
    <n v="65"/>
    <n v="14"/>
    <n v="2.5"/>
    <n v="2"/>
    <x v="55"/>
    <n v="1.3"/>
    <s v="Low screen time"/>
    <s v="High"/>
    <n v="32.839999999999996"/>
    <n v="3.8"/>
    <s v="Teen"/>
    <s v="No"/>
    <x v="2"/>
  </r>
  <r>
    <n v="66"/>
    <n v="16"/>
    <n v="2.7"/>
    <n v="2.8"/>
    <x v="56"/>
    <n v="1"/>
    <s v="Low screen time"/>
    <s v="Average"/>
    <n v="22.666666666666668"/>
    <n v="3.7"/>
    <s v="Older Student"/>
    <s v="No"/>
    <x v="0"/>
  </r>
  <r>
    <n v="67"/>
    <n v="14"/>
    <n v="3.1"/>
    <n v="3.3"/>
    <x v="56"/>
    <n v="2"/>
    <s v="Low screen time"/>
    <s v="Average"/>
    <n v="19.741935483870968"/>
    <n v="5.0999999999999996"/>
    <s v="Teen"/>
    <s v="No"/>
    <x v="0"/>
  </r>
  <r>
    <n v="68"/>
    <n v="14"/>
    <n v="2.2000000000000002"/>
    <n v="3.9"/>
    <x v="57"/>
    <n v="2.2999999999999998"/>
    <s v="Low screen time"/>
    <s v="High"/>
    <n v="34.136363636363633"/>
    <n v="4.5"/>
    <s v="Teen"/>
    <s v="No"/>
    <x v="0"/>
  </r>
  <r>
    <n v="69"/>
    <n v="16"/>
    <n v="3.1"/>
    <n v="3"/>
    <x v="58"/>
    <n v="0.8"/>
    <s v="Low screen time"/>
    <s v="Average"/>
    <n v="22.548387096774196"/>
    <n v="3.9000000000000004"/>
    <s v="Older Student"/>
    <s v="No"/>
    <x v="0"/>
  </r>
  <r>
    <n v="70"/>
    <n v="16"/>
    <n v="0.6"/>
    <n v="1.6"/>
    <x v="59"/>
    <n v="1.5"/>
    <s v="Low screen time"/>
    <s v="High"/>
    <n v="134.16666666666669"/>
    <n v="2.1"/>
    <s v="Older Student"/>
    <s v="No"/>
    <x v="2"/>
  </r>
  <r>
    <n v="71"/>
    <n v="13"/>
    <n v="2.8"/>
    <n v="1.7"/>
    <x v="60"/>
    <n v="2.5"/>
    <s v="Low screen time"/>
    <s v="Average"/>
    <n v="26.714285714285715"/>
    <n v="5.3"/>
    <s v="Teen"/>
    <s v="No"/>
    <x v="2"/>
  </r>
  <r>
    <n v="72"/>
    <n v="17"/>
    <n v="2.6"/>
    <n v="5"/>
    <x v="61"/>
    <n v="2.1"/>
    <s v="High screen time"/>
    <s v="High"/>
    <n v="33"/>
    <n v="4.7"/>
    <s v="Older Student"/>
    <s v="No"/>
    <x v="1"/>
  </r>
  <r>
    <n v="73"/>
    <n v="17"/>
    <n v="2.2999999999999998"/>
    <n v="3.8"/>
    <x v="62"/>
    <n v="2.2000000000000002"/>
    <s v="Low screen time"/>
    <s v="High"/>
    <n v="34.652173913043484"/>
    <n v="4.5"/>
    <s v="Older Student"/>
    <s v="No"/>
    <x v="0"/>
  </r>
  <r>
    <n v="74"/>
    <n v="14"/>
    <n v="2"/>
    <n v="5"/>
    <x v="63"/>
    <n v="2.6"/>
    <s v="High screen time"/>
    <s v="High"/>
    <n v="38.6"/>
    <n v="4.5999999999999996"/>
    <s v="Teen"/>
    <s v="No"/>
    <x v="1"/>
  </r>
  <r>
    <n v="75"/>
    <n v="17"/>
    <n v="1.9"/>
    <n v="5.2"/>
    <x v="64"/>
    <n v="2.6"/>
    <s v="High screen time"/>
    <s v="Average"/>
    <n v="35"/>
    <n v="4.5"/>
    <s v="Older Student"/>
    <s v="No"/>
    <x v="1"/>
  </r>
  <r>
    <n v="76"/>
    <n v="14"/>
    <n v="1.7"/>
    <n v="4.2"/>
    <x v="12"/>
    <n v="2.2999999999999998"/>
    <s v="High screen time"/>
    <s v="Average"/>
    <n v="38.647058823529413"/>
    <n v="4"/>
    <s v="Teen"/>
    <s v="No"/>
    <x v="1"/>
  </r>
  <r>
    <n v="77"/>
    <n v="13"/>
    <n v="0.2"/>
    <n v="2.2000000000000002"/>
    <x v="65"/>
    <n v="1.6"/>
    <s v="Low screen time"/>
    <s v="Average"/>
    <n v="347.5"/>
    <n v="1.8"/>
    <s v="Teen"/>
    <s v="No"/>
    <x v="0"/>
  </r>
  <r>
    <n v="78"/>
    <n v="16"/>
    <n v="2.2000000000000002"/>
    <n v="4.3"/>
    <x v="66"/>
    <n v="1.2"/>
    <s v="High screen time"/>
    <s v="High"/>
    <n v="40.18181818181818"/>
    <n v="3.4000000000000004"/>
    <s v="Older Student"/>
    <s v="No"/>
    <x v="1"/>
  </r>
  <r>
    <n v="79"/>
    <n v="16"/>
    <n v="3.6"/>
    <n v="6.1"/>
    <x v="67"/>
    <n v="1.6"/>
    <s v="High screen time"/>
    <s v="Average"/>
    <n v="18.305555555555557"/>
    <n v="5.2"/>
    <s v="Older Student"/>
    <s v="No"/>
    <x v="3"/>
  </r>
  <r>
    <n v="80"/>
    <n v="16"/>
    <n v="2.2000000000000002"/>
    <n v="3.3"/>
    <x v="68"/>
    <n v="1.1000000000000001"/>
    <s v="Low screen time"/>
    <s v="Average"/>
    <n v="32.999999999999993"/>
    <n v="3.3000000000000003"/>
    <s v="Older Student"/>
    <s v="No"/>
    <x v="0"/>
  </r>
  <r>
    <n v="81"/>
    <n v="17"/>
    <n v="3.1"/>
    <n v="4.5"/>
    <x v="69"/>
    <n v="0"/>
    <s v="High screen time"/>
    <s v="Low"/>
    <n v="15.35483870967742"/>
    <n v="3.1"/>
    <s v="Older Student"/>
    <s v="Yes"/>
    <x v="1"/>
  </r>
  <r>
    <n v="82"/>
    <n v="13"/>
    <n v="1.4"/>
    <n v="4"/>
    <x v="33"/>
    <n v="1.3"/>
    <s v="Low screen time"/>
    <s v="High"/>
    <n v="54.857142857142861"/>
    <n v="2.7"/>
    <s v="Teen"/>
    <s v="No"/>
    <x v="0"/>
  </r>
  <r>
    <n v="83"/>
    <n v="17"/>
    <n v="1.2"/>
    <n v="6.1"/>
    <x v="70"/>
    <n v="1.8"/>
    <s v="High screen time"/>
    <s v="High"/>
    <n v="77.166666666666671"/>
    <n v="3"/>
    <s v="Older Student"/>
    <s v="No"/>
    <x v="3"/>
  </r>
  <r>
    <n v="84"/>
    <n v="17"/>
    <n v="1.7"/>
    <n v="3"/>
    <x v="71"/>
    <n v="1"/>
    <s v="Low screen time"/>
    <s v="Average"/>
    <n v="35.705882352941181"/>
    <n v="2.7"/>
    <s v="Older Student"/>
    <s v="No"/>
    <x v="0"/>
  </r>
  <r>
    <n v="85"/>
    <n v="13"/>
    <n v="1.5"/>
    <n v="5.7"/>
    <x v="72"/>
    <n v="1.3"/>
    <s v="High screen time"/>
    <s v="High"/>
    <n v="66.666666666666671"/>
    <n v="2.8"/>
    <s v="Teen"/>
    <s v="No"/>
    <x v="1"/>
  </r>
  <r>
    <n v="86"/>
    <n v="13"/>
    <n v="1.3"/>
    <n v="3.4"/>
    <x v="73"/>
    <n v="1.4"/>
    <s v="Low screen time"/>
    <s v="Average"/>
    <n v="55.230769230769226"/>
    <n v="2.7"/>
    <s v="Teen"/>
    <s v="No"/>
    <x v="0"/>
  </r>
  <r>
    <n v="87"/>
    <n v="13"/>
    <n v="2.9"/>
    <n v="3"/>
    <x v="74"/>
    <n v="2.6"/>
    <s v="Low screen time"/>
    <s v="Low"/>
    <n v="15.275862068965516"/>
    <n v="5.5"/>
    <s v="Teen"/>
    <s v="No"/>
    <x v="0"/>
  </r>
  <r>
    <n v="88"/>
    <n v="13"/>
    <n v="4.3"/>
    <n v="4.2"/>
    <x v="75"/>
    <n v="1.2"/>
    <s v="High screen time"/>
    <s v="Average"/>
    <n v="15.372093023255813"/>
    <n v="5.5"/>
    <s v="Teen"/>
    <s v="No"/>
    <x v="1"/>
  </r>
  <r>
    <n v="89"/>
    <n v="16"/>
    <n v="1.8"/>
    <n v="4.5"/>
    <x v="76"/>
    <n v="2.6"/>
    <s v="High screen time"/>
    <s v="High"/>
    <n v="46.277777777777779"/>
    <n v="4.4000000000000004"/>
    <s v="Older Student"/>
    <s v="No"/>
    <x v="1"/>
  </r>
  <r>
    <n v="90"/>
    <n v="15"/>
    <n v="2.5577889447236175"/>
    <n v="6.9"/>
    <x v="25"/>
    <n v="0"/>
    <s v="High screen time"/>
    <s v="High"/>
    <n v="30"/>
    <n v="4.0999999999999996"/>
    <s v="Teen"/>
    <s v="No"/>
    <x v="3"/>
  </r>
  <r>
    <n v="91"/>
    <n v="15"/>
    <n v="3.2"/>
    <n v="4.5"/>
    <x v="63"/>
    <n v="2.6"/>
    <s v="High screen time"/>
    <s v="High"/>
    <n v="24.125"/>
    <n v="5.8000000000000007"/>
    <s v="Teen"/>
    <s v="No"/>
    <x v="1"/>
  </r>
  <r>
    <n v="92"/>
    <n v="13"/>
    <n v="1.1000000000000001"/>
    <n v="4.3"/>
    <x v="77"/>
    <n v="2.5"/>
    <s v="High screen time"/>
    <s v="High"/>
    <n v="77.909090909090907"/>
    <n v="3.6"/>
    <s v="Teen"/>
    <s v="No"/>
    <x v="1"/>
  </r>
  <r>
    <n v="93"/>
    <n v="15"/>
    <n v="1.3"/>
    <n v="6.4"/>
    <x v="78"/>
    <n v="2.2000000000000002"/>
    <s v="High screen time"/>
    <s v="Average"/>
    <n v="44.769230769230766"/>
    <n v="3.5"/>
    <s v="Teen"/>
    <s v="No"/>
    <x v="3"/>
  </r>
  <r>
    <n v="94"/>
    <n v="15"/>
    <n v="3"/>
    <n v="4.9000000000000004"/>
    <x v="79"/>
    <n v="0"/>
    <s v="High screen time"/>
    <s v="Average"/>
    <n v="21.066666666666666"/>
    <n v="3"/>
    <s v="Teen"/>
    <s v="No"/>
    <x v="1"/>
  </r>
  <r>
    <n v="95"/>
    <n v="13"/>
    <n v="2.2999999999999998"/>
    <n v="3"/>
    <x v="22"/>
    <n v="2.2999999999999998"/>
    <s v="Low screen time"/>
    <s v="Average"/>
    <n v="23.130434782608699"/>
    <n v="4.5999999999999996"/>
    <s v="Teen"/>
    <s v="No"/>
    <x v="0"/>
  </r>
  <r>
    <n v="96"/>
    <n v="15"/>
    <n v="1.8"/>
    <n v="6"/>
    <x v="80"/>
    <n v="1.5"/>
    <s v="High screen time"/>
    <s v="Average"/>
    <n v="35.5"/>
    <n v="3.3"/>
    <s v="Teen"/>
    <s v="No"/>
    <x v="1"/>
  </r>
  <r>
    <n v="97"/>
    <n v="17"/>
    <n v="2.6"/>
    <n v="2.9"/>
    <x v="19"/>
    <n v="0"/>
    <s v="Low screen time"/>
    <s v="High"/>
    <n v="29.846153846153843"/>
    <n v="2.6"/>
    <s v="Older Student"/>
    <s v="No"/>
    <x v="0"/>
  </r>
  <r>
    <n v="98"/>
    <n v="14"/>
    <n v="2.1"/>
    <n v="3"/>
    <x v="81"/>
    <n v="2.5"/>
    <s v="Low screen time"/>
    <s v="Average"/>
    <n v="34.333333333333329"/>
    <n v="4.5999999999999996"/>
    <s v="Teen"/>
    <s v="No"/>
    <x v="0"/>
  </r>
  <r>
    <n v="99"/>
    <n v="14"/>
    <n v="4.4000000000000004"/>
    <n v="2.7"/>
    <x v="82"/>
    <n v="2.7"/>
    <s v="Low screen time"/>
    <s v="High"/>
    <n v="17.886363636363637"/>
    <n v="7.1000000000000005"/>
    <s v="Teen"/>
    <s v="No"/>
    <x v="0"/>
  </r>
  <r>
    <n v="100"/>
    <n v="13"/>
    <n v="1.8"/>
    <n v="2.6"/>
    <x v="83"/>
    <n v="0"/>
    <s v="Low screen time"/>
    <s v="Average"/>
    <n v="33.666666666666664"/>
    <n v="1.8"/>
    <s v="Teen"/>
    <s v="No"/>
    <x v="0"/>
  </r>
  <r>
    <n v="101"/>
    <n v="16"/>
    <n v="1.6"/>
    <n v="4.5"/>
    <x v="56"/>
    <n v="1.6"/>
    <s v="High screen time"/>
    <s v="Average"/>
    <n v="38.25"/>
    <n v="3.2"/>
    <s v="Older Student"/>
    <s v="No"/>
    <x v="1"/>
  </r>
  <r>
    <n v="102"/>
    <n v="13"/>
    <n v="2"/>
    <n v="3.6"/>
    <x v="84"/>
    <n v="2.6"/>
    <s v="Low screen time"/>
    <s v="Average"/>
    <n v="36"/>
    <n v="4.5999999999999996"/>
    <s v="Teen"/>
    <s v="No"/>
    <x v="0"/>
  </r>
  <r>
    <n v="103"/>
    <n v="16"/>
    <n v="2.1"/>
    <n v="0"/>
    <x v="30"/>
    <n v="2.5"/>
    <s v="Low screen time"/>
    <s v="Average"/>
    <n v="30.476190476190474"/>
    <n v="4.5999999999999996"/>
    <s v="Older Student"/>
    <s v="No"/>
    <x v="2"/>
  </r>
  <r>
    <n v="104"/>
    <n v="14"/>
    <n v="2.5577889447236175"/>
    <n v="3.6"/>
    <x v="85"/>
    <n v="2.2000000000000002"/>
    <s v="Low screen time"/>
    <s v="High"/>
    <n v="30"/>
    <n v="4.0999999999999996"/>
    <s v="Teen"/>
    <s v="No"/>
    <x v="0"/>
  </r>
  <r>
    <n v="105"/>
    <n v="13"/>
    <n v="0.5"/>
    <n v="3.2"/>
    <x v="86"/>
    <n v="0"/>
    <s v="Low screen time"/>
    <s v="Average"/>
    <n v="127.4"/>
    <n v="0.5"/>
    <s v="Teen"/>
    <s v="No"/>
    <x v="0"/>
  </r>
  <r>
    <n v="106"/>
    <n v="17"/>
    <n v="2.9"/>
    <n v="5.3"/>
    <x v="87"/>
    <n v="2.1"/>
    <s v="High screen time"/>
    <s v="Average"/>
    <n v="22.413793103448278"/>
    <n v="5"/>
    <s v="Older Student"/>
    <s v="No"/>
    <x v="1"/>
  </r>
  <r>
    <n v="107"/>
    <n v="15"/>
    <n v="2"/>
    <n v="3.2"/>
    <x v="88"/>
    <n v="1.3"/>
    <s v="Low screen time"/>
    <s v="Average"/>
    <n v="37.1"/>
    <n v="3.3"/>
    <s v="Teen"/>
    <s v="No"/>
    <x v="0"/>
  </r>
  <r>
    <n v="108"/>
    <n v="16"/>
    <n v="3.3"/>
    <n v="7.8"/>
    <x v="75"/>
    <n v="2.2999999999999998"/>
    <s v="High screen time"/>
    <s v="Average"/>
    <n v="20.030303030303031"/>
    <n v="5.6"/>
    <s v="Older Student"/>
    <s v="No"/>
    <x v="3"/>
  </r>
  <r>
    <n v="109"/>
    <n v="15"/>
    <n v="2.5"/>
    <n v="6.1"/>
    <x v="89"/>
    <n v="1.7"/>
    <s v="High screen time"/>
    <s v="Average"/>
    <n v="23.080000000000002"/>
    <n v="4.2"/>
    <s v="Teen"/>
    <s v="No"/>
    <x v="3"/>
  </r>
  <r>
    <n v="110"/>
    <n v="15"/>
    <n v="3"/>
    <n v="3.4"/>
    <x v="90"/>
    <n v="1.5"/>
    <s v="Low screen time"/>
    <s v="Average"/>
    <n v="19.666666666666668"/>
    <n v="4.5"/>
    <s v="Teen"/>
    <s v="No"/>
    <x v="0"/>
  </r>
  <r>
    <n v="111"/>
    <n v="13"/>
    <n v="2.1"/>
    <n v="5.7"/>
    <x v="91"/>
    <n v="2"/>
    <s v="High screen time"/>
    <s v="High"/>
    <n v="35.904761904761905"/>
    <n v="4.0999999999999996"/>
    <s v="Teen"/>
    <s v="No"/>
    <x v="1"/>
  </r>
  <r>
    <n v="112"/>
    <n v="15"/>
    <n v="2.9"/>
    <n v="4.013065326633166"/>
    <x v="92"/>
    <n v="1.4"/>
    <s v="Low screen time"/>
    <s v="Average"/>
    <n v="19.448275862068964"/>
    <n v="4.3"/>
    <s v="Teen"/>
    <s v="No"/>
    <x v="0"/>
  </r>
  <r>
    <n v="113"/>
    <n v="17"/>
    <n v="4.2"/>
    <n v="4.4000000000000004"/>
    <x v="93"/>
    <n v="1.5"/>
    <s v="High screen time"/>
    <s v="High"/>
    <n v="20"/>
    <n v="5.7"/>
    <s v="Older Student"/>
    <s v="No"/>
    <x v="1"/>
  </r>
  <r>
    <n v="114"/>
    <n v="15"/>
    <n v="1.8"/>
    <n v="5.2"/>
    <x v="94"/>
    <n v="1.1000000000000001"/>
    <s v="High screen time"/>
    <s v="Average"/>
    <n v="35.055555555555557"/>
    <n v="2.9000000000000004"/>
    <s v="Teen"/>
    <s v="No"/>
    <x v="1"/>
  </r>
  <r>
    <n v="115"/>
    <n v="13"/>
    <n v="2.4"/>
    <n v="4.0999999999999996"/>
    <x v="95"/>
    <n v="0.2"/>
    <s v="High screen time"/>
    <s v="High"/>
    <n v="31.750000000000004"/>
    <n v="2.6"/>
    <s v="Teen"/>
    <s v="No"/>
    <x v="1"/>
  </r>
  <r>
    <n v="116"/>
    <n v="17"/>
    <n v="2"/>
    <n v="4.4000000000000004"/>
    <x v="86"/>
    <n v="2"/>
    <s v="High screen time"/>
    <s v="Average"/>
    <n v="31.85"/>
    <n v="4"/>
    <s v="Older Student"/>
    <s v="No"/>
    <x v="1"/>
  </r>
  <r>
    <n v="117"/>
    <n v="14"/>
    <n v="4.0999999999999996"/>
    <n v="5.2"/>
    <x v="96"/>
    <n v="0.9"/>
    <s v="High screen time"/>
    <s v="Average"/>
    <n v="14.829268292682928"/>
    <n v="5"/>
    <s v="Teen"/>
    <s v="No"/>
    <x v="1"/>
  </r>
  <r>
    <n v="118"/>
    <n v="15"/>
    <n v="2.1"/>
    <n v="7.1"/>
    <x v="47"/>
    <n v="1.3"/>
    <s v="High screen time"/>
    <s v="Average"/>
    <n v="34.523809523809526"/>
    <n v="3.4000000000000004"/>
    <s v="Teen"/>
    <s v="No"/>
    <x v="3"/>
  </r>
  <r>
    <n v="119"/>
    <n v="13"/>
    <n v="1.8"/>
    <n v="4.4000000000000004"/>
    <x v="59"/>
    <n v="1.7"/>
    <s v="High screen time"/>
    <s v="High"/>
    <n v="44.722222222222221"/>
    <n v="3.5"/>
    <s v="Teen"/>
    <s v="No"/>
    <x v="1"/>
  </r>
  <r>
    <n v="120"/>
    <n v="14"/>
    <n v="1.9"/>
    <n v="3.3"/>
    <x v="97"/>
    <n v="0"/>
    <s v="Low screen time"/>
    <s v="Average"/>
    <n v="35.526315789473685"/>
    <n v="1.9"/>
    <s v="Teen"/>
    <s v="No"/>
    <x v="0"/>
  </r>
  <r>
    <n v="121"/>
    <n v="14"/>
    <n v="2.4"/>
    <n v="1"/>
    <x v="7"/>
    <n v="0"/>
    <s v="Low screen time"/>
    <s v="Average"/>
    <n v="28.875"/>
    <n v="2.4"/>
    <s v="Teen"/>
    <s v="No"/>
    <x v="2"/>
  </r>
  <r>
    <n v="122"/>
    <n v="16"/>
    <n v="1.7"/>
    <n v="6.9"/>
    <x v="48"/>
    <n v="1.3"/>
    <s v="High screen time"/>
    <s v="High"/>
    <n v="45.941176470588232"/>
    <n v="3"/>
    <s v="Older Student"/>
    <s v="No"/>
    <x v="3"/>
  </r>
  <r>
    <n v="123"/>
    <n v="17"/>
    <n v="2.1"/>
    <n v="3.6"/>
    <x v="98"/>
    <n v="1.9"/>
    <s v="Low screen time"/>
    <s v="High"/>
    <n v="37.333333333333336"/>
    <n v="4"/>
    <s v="Older Student"/>
    <s v="No"/>
    <x v="0"/>
  </r>
  <r>
    <n v="124"/>
    <n v="15"/>
    <n v="2.7"/>
    <n v="4.8"/>
    <x v="99"/>
    <n v="2.1"/>
    <s v="High screen time"/>
    <s v="Average"/>
    <n v="25.777777777777775"/>
    <n v="4.8000000000000007"/>
    <s v="Teen"/>
    <s v="No"/>
    <x v="1"/>
  </r>
  <r>
    <n v="125"/>
    <n v="13"/>
    <n v="2.4"/>
    <n v="6.9"/>
    <x v="37"/>
    <n v="0.2"/>
    <s v="High screen time"/>
    <s v="Average"/>
    <n v="27.333333333333332"/>
    <n v="2.6"/>
    <s v="Teen"/>
    <s v="No"/>
    <x v="3"/>
  </r>
  <r>
    <n v="126"/>
    <n v="16"/>
    <n v="3.3"/>
    <n v="4.3"/>
    <x v="100"/>
    <n v="2"/>
    <s v="High screen time"/>
    <s v="Average"/>
    <n v="21.454545454545453"/>
    <n v="5.3"/>
    <s v="Older Student"/>
    <s v="No"/>
    <x v="1"/>
  </r>
  <r>
    <n v="127"/>
    <n v="17"/>
    <n v="2.2000000000000002"/>
    <n v="3.7"/>
    <x v="1"/>
    <n v="1.3"/>
    <s v="Low screen time"/>
    <s v="Average"/>
    <n v="30.95454545454545"/>
    <n v="3.5"/>
    <s v="Older Student"/>
    <s v="No"/>
    <x v="0"/>
  </r>
  <r>
    <n v="128"/>
    <n v="16"/>
    <n v="2.2999999999999998"/>
    <n v="6.1"/>
    <x v="101"/>
    <n v="0.8"/>
    <s v="High screen time"/>
    <s v="Average"/>
    <n v="31.782608695652176"/>
    <n v="3.0999999999999996"/>
    <s v="Older Student"/>
    <s v="No"/>
    <x v="3"/>
  </r>
  <r>
    <n v="129"/>
    <n v="17"/>
    <n v="2.8"/>
    <n v="4.7"/>
    <x v="102"/>
    <n v="1"/>
    <s v="High screen time"/>
    <s v="Average"/>
    <n v="20.750000000000004"/>
    <n v="3.8"/>
    <s v="Older Student"/>
    <s v="No"/>
    <x v="1"/>
  </r>
  <r>
    <n v="130"/>
    <n v="17"/>
    <n v="4.7"/>
    <n v="4.9000000000000004"/>
    <x v="103"/>
    <n v="2.1"/>
    <s v="High screen time"/>
    <s v="Average"/>
    <n v="15.489361702127658"/>
    <n v="6.8000000000000007"/>
    <s v="Older Student"/>
    <s v="No"/>
    <x v="1"/>
  </r>
  <r>
    <n v="131"/>
    <n v="15"/>
    <n v="1.7"/>
    <n v="1.7"/>
    <x v="104"/>
    <n v="1.7"/>
    <s v="Low screen time"/>
    <s v="Average"/>
    <n v="36.941176470588232"/>
    <n v="3.4"/>
    <s v="Teen"/>
    <s v="No"/>
    <x v="2"/>
  </r>
  <r>
    <n v="132"/>
    <n v="17"/>
    <n v="4.4000000000000004"/>
    <n v="5.8"/>
    <x v="105"/>
    <n v="1.5"/>
    <s v="High screen time"/>
    <s v="High"/>
    <n v="17.977272727272723"/>
    <n v="5.9"/>
    <s v="Older Student"/>
    <s v="No"/>
    <x v="1"/>
  </r>
  <r>
    <n v="133"/>
    <n v="16"/>
    <n v="1.3"/>
    <n v="4.5999999999999996"/>
    <x v="106"/>
    <n v="1.7"/>
    <s v="High screen time"/>
    <s v="Average"/>
    <n v="48.692307692307686"/>
    <n v="3"/>
    <s v="Older Student"/>
    <s v="No"/>
    <x v="1"/>
  </r>
  <r>
    <n v="134"/>
    <n v="17"/>
    <n v="2.7"/>
    <n v="1.9"/>
    <x v="107"/>
    <n v="2.2000000000000002"/>
    <s v="Low screen time"/>
    <s v="Average"/>
    <n v="23.481481481481481"/>
    <n v="4.9000000000000004"/>
    <s v="Older Student"/>
    <s v="No"/>
    <x v="2"/>
  </r>
  <r>
    <n v="135"/>
    <n v="15"/>
    <n v="2.5577889447236175"/>
    <n v="4.7"/>
    <x v="32"/>
    <n v="1.4"/>
    <s v="High screen time"/>
    <s v="Average"/>
    <n v="30"/>
    <n v="4.0999999999999996"/>
    <s v="Teen"/>
    <s v="No"/>
    <x v="1"/>
  </r>
  <r>
    <n v="136"/>
    <n v="15"/>
    <n v="1.7"/>
    <n v="0.9"/>
    <x v="20"/>
    <n v="1.5"/>
    <s v="Low screen time"/>
    <s v="Average"/>
    <n v="41.235294117647058"/>
    <n v="3.2"/>
    <s v="Teen"/>
    <s v="No"/>
    <x v="2"/>
  </r>
  <r>
    <n v="137"/>
    <n v="16"/>
    <n v="3.2"/>
    <n v="7.5"/>
    <x v="108"/>
    <n v="2.4"/>
    <s v="High screen time"/>
    <s v="High"/>
    <n v="28.999999999999996"/>
    <n v="5.6"/>
    <s v="Older Student"/>
    <s v="No"/>
    <x v="3"/>
  </r>
  <r>
    <n v="138"/>
    <n v="14"/>
    <n v="3.1"/>
    <n v="2.2999999999999998"/>
    <x v="34"/>
    <n v="1.2"/>
    <s v="Low screen time"/>
    <s v="High"/>
    <n v="30"/>
    <n v="4.3"/>
    <s v="Teen"/>
    <s v="No"/>
    <x v="0"/>
  </r>
  <r>
    <n v="139"/>
    <n v="14"/>
    <n v="2"/>
    <n v="6.4"/>
    <x v="109"/>
    <n v="2"/>
    <s v="High screen time"/>
    <s v="Average"/>
    <n v="35.549999999999997"/>
    <n v="4"/>
    <s v="Teen"/>
    <s v="No"/>
    <x v="3"/>
  </r>
  <r>
    <n v="140"/>
    <n v="17"/>
    <n v="0.4"/>
    <n v="2.8"/>
    <x v="110"/>
    <n v="1.1000000000000001"/>
    <s v="Low screen time"/>
    <s v="High"/>
    <n v="203.24999999999997"/>
    <n v="1.5"/>
    <s v="Older Student"/>
    <s v="No"/>
    <x v="0"/>
  </r>
  <r>
    <n v="141"/>
    <n v="13"/>
    <n v="2.1"/>
    <n v="4.8"/>
    <x v="111"/>
    <n v="1.2"/>
    <s v="High screen time"/>
    <s v="Average"/>
    <n v="30.571428571428573"/>
    <n v="3.3"/>
    <s v="Teen"/>
    <s v="No"/>
    <x v="1"/>
  </r>
  <r>
    <n v="142"/>
    <n v="17"/>
    <n v="2.6"/>
    <n v="2.6"/>
    <x v="112"/>
    <n v="1.4"/>
    <s v="Low screen time"/>
    <s v="Average"/>
    <n v="23.423076923076923"/>
    <n v="4"/>
    <s v="Older Student"/>
    <s v="No"/>
    <x v="0"/>
  </r>
  <r>
    <n v="143"/>
    <n v="16"/>
    <n v="2.5"/>
    <n v="5.5"/>
    <x v="113"/>
    <n v="1.9"/>
    <s v="High screen time"/>
    <s v="Average"/>
    <n v="24.52"/>
    <n v="4.4000000000000004"/>
    <s v="Older Student"/>
    <s v="No"/>
    <x v="1"/>
  </r>
  <r>
    <n v="144"/>
    <n v="16"/>
    <n v="3.3"/>
    <n v="3.6"/>
    <x v="114"/>
    <n v="2.5"/>
    <s v="Low screen time"/>
    <s v="Average"/>
    <n v="16.333333333333332"/>
    <n v="5.8"/>
    <s v="Older Student"/>
    <s v="No"/>
    <x v="0"/>
  </r>
  <r>
    <n v="145"/>
    <n v="16"/>
    <n v="4.4000000000000004"/>
    <n v="4.7"/>
    <x v="115"/>
    <n v="1.6"/>
    <s v="High screen time"/>
    <s v="High"/>
    <n v="18.977272727272727"/>
    <n v="6"/>
    <s v="Older Student"/>
    <s v="No"/>
    <x v="1"/>
  </r>
  <r>
    <n v="146"/>
    <n v="16"/>
    <n v="2.9"/>
    <n v="4"/>
    <x v="116"/>
    <n v="0.3"/>
    <s v="Low screen time"/>
    <s v="Average"/>
    <n v="23"/>
    <n v="3.1999999999999997"/>
    <s v="Older Student"/>
    <s v="No"/>
    <x v="0"/>
  </r>
  <r>
    <n v="147"/>
    <n v="16"/>
    <n v="3.1"/>
    <n v="2"/>
    <x v="117"/>
    <n v="2"/>
    <s v="Low screen time"/>
    <s v="Average"/>
    <n v="21.129032258064516"/>
    <n v="5.0999999999999996"/>
    <s v="Older Student"/>
    <s v="No"/>
    <x v="2"/>
  </r>
  <r>
    <n v="148"/>
    <n v="15"/>
    <n v="2.6"/>
    <n v="4.8"/>
    <x v="118"/>
    <n v="3.5"/>
    <s v="High screen time"/>
    <s v="Low"/>
    <n v="18.769230769230766"/>
    <n v="6.1"/>
    <s v="Teen"/>
    <s v="Yes"/>
    <x v="1"/>
  </r>
  <r>
    <n v="149"/>
    <n v="14"/>
    <n v="3.7"/>
    <n v="3.2"/>
    <x v="119"/>
    <n v="1.6"/>
    <s v="Low screen time"/>
    <s v="Average"/>
    <n v="15.054054054054054"/>
    <n v="5.3000000000000007"/>
    <s v="Teen"/>
    <s v="No"/>
    <x v="0"/>
  </r>
  <r>
    <n v="150"/>
    <n v="16"/>
    <n v="3"/>
    <n v="5.6"/>
    <x v="120"/>
    <n v="0.1"/>
    <s v="High screen time"/>
    <s v="High"/>
    <n v="28.233333333333334"/>
    <n v="3.1"/>
    <s v="Older Student"/>
    <s v="No"/>
    <x v="1"/>
  </r>
  <r>
    <n v="151"/>
    <n v="13"/>
    <n v="3.2"/>
    <n v="3.6"/>
    <x v="121"/>
    <n v="1.6"/>
    <s v="Low screen time"/>
    <s v="Average"/>
    <n v="22.8125"/>
    <n v="4.8000000000000007"/>
    <s v="Teen"/>
    <s v="No"/>
    <x v="0"/>
  </r>
  <r>
    <n v="152"/>
    <n v="13"/>
    <n v="4.3"/>
    <n v="3.9"/>
    <x v="122"/>
    <n v="1.5"/>
    <s v="Low screen time"/>
    <s v="High"/>
    <n v="19"/>
    <n v="5.8"/>
    <s v="Teen"/>
    <s v="No"/>
    <x v="0"/>
  </r>
  <r>
    <n v="153"/>
    <n v="13"/>
    <n v="2.7"/>
    <n v="6.5"/>
    <x v="123"/>
    <n v="1.4"/>
    <s v="High screen time"/>
    <s v="High"/>
    <n v="29.777777777777779"/>
    <n v="4.0999999999999996"/>
    <s v="Teen"/>
    <s v="No"/>
    <x v="3"/>
  </r>
  <r>
    <n v="154"/>
    <n v="13"/>
    <n v="2.2000000000000002"/>
    <n v="7.6"/>
    <x v="124"/>
    <n v="2.2999999999999998"/>
    <s v="High screen time"/>
    <s v="Average"/>
    <n v="27.27272727272727"/>
    <n v="4.5"/>
    <s v="Teen"/>
    <s v="No"/>
    <x v="3"/>
  </r>
  <r>
    <n v="155"/>
    <n v="15"/>
    <n v="2.9"/>
    <n v="5.2"/>
    <x v="125"/>
    <n v="2.6"/>
    <s v="High screen time"/>
    <s v="High"/>
    <n v="32.517241379310342"/>
    <n v="5.5"/>
    <s v="Teen"/>
    <s v="No"/>
    <x v="1"/>
  </r>
  <r>
    <n v="156"/>
    <n v="13"/>
    <n v="3.6"/>
    <n v="3.6"/>
    <x v="126"/>
    <n v="2"/>
    <s v="Low screen time"/>
    <s v="High"/>
    <n v="24.861111111111111"/>
    <n v="5.6"/>
    <s v="Teen"/>
    <s v="No"/>
    <x v="0"/>
  </r>
  <r>
    <n v="157"/>
    <n v="16"/>
    <n v="3"/>
    <n v="3.4"/>
    <x v="127"/>
    <n v="1.4"/>
    <s v="Low screen time"/>
    <s v="Average"/>
    <n v="21.466666666666669"/>
    <n v="4.4000000000000004"/>
    <s v="Older Student"/>
    <s v="No"/>
    <x v="0"/>
  </r>
  <r>
    <n v="158"/>
    <n v="17"/>
    <n v="3.6"/>
    <n v="2.8"/>
    <x v="128"/>
    <n v="2.4"/>
    <s v="Low screen time"/>
    <s v="Low"/>
    <n v="9.5277777777777768"/>
    <n v="6"/>
    <s v="Older Student"/>
    <s v="No"/>
    <x v="0"/>
  </r>
  <r>
    <n v="159"/>
    <n v="13"/>
    <n v="1.8"/>
    <n v="3.1"/>
    <x v="129"/>
    <n v="0.3"/>
    <s v="Low screen time"/>
    <s v="Average"/>
    <n v="36.888888888888893"/>
    <n v="2.1"/>
    <s v="Teen"/>
    <s v="No"/>
    <x v="0"/>
  </r>
  <r>
    <n v="160"/>
    <n v="15"/>
    <n v="1.6"/>
    <n v="3.6"/>
    <x v="130"/>
    <n v="0.9"/>
    <s v="Low screen time"/>
    <s v="Average"/>
    <n v="45.25"/>
    <n v="2.5"/>
    <s v="Teen"/>
    <s v="No"/>
    <x v="0"/>
  </r>
  <r>
    <n v="161"/>
    <n v="15"/>
    <n v="2"/>
    <n v="6.9"/>
    <x v="131"/>
    <n v="1"/>
    <s v="High screen time"/>
    <s v="Average"/>
    <n v="32.15"/>
    <n v="3"/>
    <s v="Teen"/>
    <s v="No"/>
    <x v="3"/>
  </r>
  <r>
    <n v="162"/>
    <n v="13"/>
    <n v="1.2"/>
    <n v="3.7"/>
    <x v="132"/>
    <n v="1.5"/>
    <s v="Low screen time"/>
    <s v="Average"/>
    <n v="56.5"/>
    <n v="2.7"/>
    <s v="Teen"/>
    <s v="No"/>
    <x v="0"/>
  </r>
  <r>
    <n v="163"/>
    <n v="17"/>
    <n v="2.6"/>
    <n v="2.2000000000000002"/>
    <x v="133"/>
    <n v="1.9"/>
    <s v="Low screen time"/>
    <s v="Average"/>
    <n v="23.73076923076923"/>
    <n v="4.5"/>
    <s v="Older Student"/>
    <s v="No"/>
    <x v="0"/>
  </r>
  <r>
    <n v="164"/>
    <n v="13"/>
    <n v="2.1"/>
    <n v="4.0999999999999996"/>
    <x v="134"/>
    <n v="1.3"/>
    <s v="High screen time"/>
    <s v="High"/>
    <n v="37.714285714285715"/>
    <n v="3.4000000000000004"/>
    <s v="Teen"/>
    <s v="No"/>
    <x v="1"/>
  </r>
  <r>
    <n v="165"/>
    <n v="15"/>
    <n v="3.7"/>
    <n v="4.3"/>
    <x v="135"/>
    <n v="0.8"/>
    <s v="High screen time"/>
    <s v="Average"/>
    <n v="19.081081081081077"/>
    <n v="4.5"/>
    <s v="Teen"/>
    <s v="No"/>
    <x v="1"/>
  </r>
  <r>
    <n v="166"/>
    <n v="14"/>
    <n v="1.2"/>
    <n v="4.0999999999999996"/>
    <x v="136"/>
    <n v="2.2999999999999998"/>
    <s v="High screen time"/>
    <s v="High"/>
    <n v="66.25"/>
    <n v="3.5"/>
    <s v="Teen"/>
    <s v="No"/>
    <x v="1"/>
  </r>
  <r>
    <n v="167"/>
    <n v="16"/>
    <n v="4.0999999999999996"/>
    <n v="5.2"/>
    <x v="137"/>
    <n v="1.3"/>
    <s v="High screen time"/>
    <s v="High"/>
    <n v="20.04878048780488"/>
    <n v="5.3999999999999995"/>
    <s v="Older Student"/>
    <s v="No"/>
    <x v="1"/>
  </r>
  <r>
    <n v="168"/>
    <n v="15"/>
    <n v="1.5"/>
    <n v="4.0999999999999996"/>
    <x v="138"/>
    <n v="1.6"/>
    <s v="High screen time"/>
    <s v="Low"/>
    <n v="32.199999999999996"/>
    <n v="3.1"/>
    <s v="Teen"/>
    <s v="Yes"/>
    <x v="1"/>
  </r>
  <r>
    <n v="169"/>
    <n v="13"/>
    <n v="1.3"/>
    <n v="5.2"/>
    <x v="139"/>
    <n v="1.9"/>
    <s v="High screen time"/>
    <s v="Average"/>
    <n v="47.92307692307692"/>
    <n v="3.2"/>
    <s v="Teen"/>
    <s v="No"/>
    <x v="1"/>
  </r>
  <r>
    <n v="170"/>
    <n v="16"/>
    <n v="1.7"/>
    <n v="2.8"/>
    <x v="140"/>
    <n v="1.5"/>
    <s v="Low screen time"/>
    <s v="Average"/>
    <n v="37.529411764705884"/>
    <n v="3.2"/>
    <s v="Older Student"/>
    <s v="No"/>
    <x v="0"/>
  </r>
  <r>
    <n v="171"/>
    <n v="13"/>
    <n v="4.5"/>
    <n v="4.013065326633166"/>
    <x v="141"/>
    <n v="1.5"/>
    <s v="Low screen time"/>
    <s v="High"/>
    <n v="21.266666666666666"/>
    <n v="6"/>
    <s v="Teen"/>
    <s v="No"/>
    <x v="0"/>
  </r>
  <r>
    <n v="172"/>
    <n v="13"/>
    <n v="2.5"/>
    <n v="4.4000000000000004"/>
    <x v="5"/>
    <n v="2.2999999999999998"/>
    <s v="High screen time"/>
    <s v="Average"/>
    <n v="28.6"/>
    <n v="4.8"/>
    <s v="Teen"/>
    <s v="No"/>
    <x v="1"/>
  </r>
  <r>
    <n v="173"/>
    <n v="14"/>
    <n v="3"/>
    <n v="4.5999999999999996"/>
    <x v="34"/>
    <n v="1.6"/>
    <s v="High screen time"/>
    <s v="High"/>
    <n v="30"/>
    <n v="4.5999999999999996"/>
    <s v="Teen"/>
    <s v="No"/>
    <x v="1"/>
  </r>
  <r>
    <n v="174"/>
    <n v="16"/>
    <n v="2.2999999999999998"/>
    <n v="2.8"/>
    <x v="142"/>
    <n v="2.2000000000000002"/>
    <s v="Low screen time"/>
    <s v="Average"/>
    <n v="22.260869565217394"/>
    <n v="4.5"/>
    <s v="Older Student"/>
    <s v="No"/>
    <x v="0"/>
  </r>
  <r>
    <n v="175"/>
    <n v="16"/>
    <n v="2.4"/>
    <n v="4.7"/>
    <x v="18"/>
    <n v="1.9"/>
    <s v="High screen time"/>
    <s v="Average"/>
    <n v="29.750000000000004"/>
    <n v="4.3"/>
    <s v="Older Student"/>
    <s v="No"/>
    <x v="1"/>
  </r>
  <r>
    <n v="176"/>
    <n v="14"/>
    <n v="2"/>
    <n v="5"/>
    <x v="143"/>
    <n v="3.1"/>
    <s v="High screen time"/>
    <s v="High"/>
    <n v="39.9"/>
    <n v="5.0999999999999996"/>
    <s v="Teen"/>
    <s v="No"/>
    <x v="1"/>
  </r>
  <r>
    <n v="177"/>
    <n v="15"/>
    <n v="2.6"/>
    <n v="2.2000000000000002"/>
    <x v="144"/>
    <n v="1.8"/>
    <s v="Low screen time"/>
    <s v="High"/>
    <n v="30.230769230769226"/>
    <n v="4.4000000000000004"/>
    <s v="Teen"/>
    <s v="No"/>
    <x v="0"/>
  </r>
  <r>
    <n v="178"/>
    <n v="13"/>
    <n v="3"/>
    <n v="1.5"/>
    <x v="95"/>
    <n v="2"/>
    <s v="Low screen time"/>
    <s v="High"/>
    <n v="25.400000000000002"/>
    <n v="5"/>
    <s v="Teen"/>
    <s v="No"/>
    <x v="2"/>
  </r>
  <r>
    <n v="179"/>
    <n v="17"/>
    <n v="4.2"/>
    <n v="4.4000000000000004"/>
    <x v="20"/>
    <n v="2.4"/>
    <s v="High screen time"/>
    <s v="Average"/>
    <n v="16.69047619047619"/>
    <n v="6.6"/>
    <s v="Older Student"/>
    <s v="No"/>
    <x v="1"/>
  </r>
  <r>
    <n v="180"/>
    <n v="13"/>
    <n v="0.6"/>
    <n v="3.3"/>
    <x v="135"/>
    <n v="1.6"/>
    <s v="Low screen time"/>
    <s v="Average"/>
    <n v="117.66666666666666"/>
    <n v="2.2000000000000002"/>
    <s v="Teen"/>
    <s v="No"/>
    <x v="0"/>
  </r>
  <r>
    <n v="181"/>
    <n v="13"/>
    <n v="4.0999999999999996"/>
    <n v="4.4000000000000004"/>
    <x v="145"/>
    <n v="1"/>
    <s v="High screen time"/>
    <s v="Average"/>
    <n v="12.951219512195124"/>
    <n v="5.0999999999999996"/>
    <s v="Teen"/>
    <s v="No"/>
    <x v="1"/>
  </r>
  <r>
    <n v="182"/>
    <n v="15"/>
    <n v="3"/>
    <n v="2.1"/>
    <x v="146"/>
    <n v="1.1000000000000001"/>
    <s v="Low screen time"/>
    <s v="Average"/>
    <n v="20.333333333333332"/>
    <n v="4.0999999999999996"/>
    <s v="Teen"/>
    <s v="No"/>
    <x v="0"/>
  </r>
  <r>
    <n v="183"/>
    <n v="13"/>
    <n v="2.1"/>
    <n v="1.7"/>
    <x v="147"/>
    <n v="1.1000000000000001"/>
    <s v="Low screen time"/>
    <s v="Average"/>
    <n v="34.428571428571423"/>
    <n v="3.2"/>
    <s v="Teen"/>
    <s v="No"/>
    <x v="2"/>
  </r>
  <r>
    <n v="184"/>
    <n v="14"/>
    <n v="2"/>
    <n v="4.3"/>
    <x v="104"/>
    <n v="0.7"/>
    <s v="High screen time"/>
    <s v="Average"/>
    <n v="31.4"/>
    <n v="2.7"/>
    <s v="Teen"/>
    <s v="No"/>
    <x v="1"/>
  </r>
  <r>
    <n v="185"/>
    <n v="14"/>
    <n v="3.5"/>
    <n v="3.5"/>
    <x v="52"/>
    <n v="1.8"/>
    <s v="Low screen time"/>
    <s v="High"/>
    <n v="21.971428571428572"/>
    <n v="5.3"/>
    <s v="Teen"/>
    <s v="No"/>
    <x v="0"/>
  </r>
  <r>
    <n v="186"/>
    <n v="16"/>
    <n v="2.7"/>
    <n v="4.013065326633166"/>
    <x v="148"/>
    <n v="1"/>
    <s v="Low screen time"/>
    <s v="Average"/>
    <n v="27.666666666666664"/>
    <n v="3.7"/>
    <s v="Older Student"/>
    <s v="No"/>
    <x v="0"/>
  </r>
  <r>
    <n v="187"/>
    <n v="17"/>
    <n v="1"/>
    <n v="6"/>
    <x v="149"/>
    <n v="1.7"/>
    <s v="High screen time"/>
    <s v="High"/>
    <n v="83.7"/>
    <n v="2.7"/>
    <s v="Older Student"/>
    <s v="No"/>
    <x v="1"/>
  </r>
  <r>
    <n v="188"/>
    <n v="13"/>
    <n v="2.9"/>
    <n v="2"/>
    <x v="150"/>
    <n v="1.4"/>
    <s v="Low screen time"/>
    <s v="High"/>
    <n v="27.448275862068964"/>
    <n v="4.3"/>
    <s v="Teen"/>
    <s v="No"/>
    <x v="2"/>
  </r>
  <r>
    <n v="189"/>
    <n v="13"/>
    <n v="3.6"/>
    <n v="7.9"/>
    <x v="147"/>
    <n v="1.5"/>
    <s v="High screen time"/>
    <s v="Average"/>
    <n v="20.083333333333332"/>
    <n v="5.0999999999999996"/>
    <s v="Teen"/>
    <s v="No"/>
    <x v="3"/>
  </r>
  <r>
    <n v="190"/>
    <n v="15"/>
    <n v="3.4"/>
    <n v="3.1"/>
    <x v="151"/>
    <n v="1.9"/>
    <s v="Low screen time"/>
    <s v="High"/>
    <n v="22.794117647058822"/>
    <n v="5.3"/>
    <s v="Teen"/>
    <s v="No"/>
    <x v="0"/>
  </r>
  <r>
    <n v="191"/>
    <n v="14"/>
    <n v="1.9"/>
    <n v="4.5999999999999996"/>
    <x v="152"/>
    <n v="1.1000000000000001"/>
    <s v="High screen time"/>
    <s v="High"/>
    <n v="42.157894736842103"/>
    <n v="3"/>
    <s v="Teen"/>
    <s v="No"/>
    <x v="1"/>
  </r>
  <r>
    <n v="192"/>
    <n v="17"/>
    <n v="1.2"/>
    <n v="6.5"/>
    <x v="153"/>
    <n v="2"/>
    <s v="High screen time"/>
    <s v="Average"/>
    <n v="54.083333333333343"/>
    <n v="3.2"/>
    <s v="Older Student"/>
    <s v="No"/>
    <x v="3"/>
  </r>
  <r>
    <n v="193"/>
    <n v="16"/>
    <n v="2.2000000000000002"/>
    <n v="6.2"/>
    <x v="116"/>
    <n v="2.8"/>
    <s v="High screen time"/>
    <s v="Average"/>
    <n v="30.318181818181817"/>
    <n v="5"/>
    <s v="Older Student"/>
    <s v="No"/>
    <x v="3"/>
  </r>
  <r>
    <n v="194"/>
    <n v="14"/>
    <n v="5.8"/>
    <n v="7"/>
    <x v="154"/>
    <n v="1.8"/>
    <s v="High screen time"/>
    <s v="Average"/>
    <n v="11.896551724137931"/>
    <n v="7.6"/>
    <s v="Teen"/>
    <s v="No"/>
    <x v="3"/>
  </r>
  <r>
    <n v="195"/>
    <n v="16"/>
    <n v="1"/>
    <n v="1.7"/>
    <x v="155"/>
    <n v="0.9"/>
    <s v="Low screen time"/>
    <s v="Average"/>
    <n v="65.2"/>
    <n v="1.9"/>
    <s v="Older Student"/>
    <s v="No"/>
    <x v="2"/>
  </r>
  <r>
    <n v="196"/>
    <n v="15"/>
    <n v="1.7"/>
    <n v="2.2999999999999998"/>
    <x v="156"/>
    <n v="1"/>
    <s v="Low screen time"/>
    <s v="High"/>
    <n v="47.176470588235297"/>
    <n v="2.7"/>
    <s v="Teen"/>
    <s v="No"/>
    <x v="0"/>
  </r>
  <r>
    <n v="197"/>
    <n v="15"/>
    <n v="2.9"/>
    <n v="4.3"/>
    <x v="86"/>
    <n v="1.3"/>
    <s v="High screen time"/>
    <s v="Average"/>
    <n v="21.965517241379313"/>
    <n v="4.2"/>
    <s v="Teen"/>
    <s v="No"/>
    <x v="1"/>
  </r>
  <r>
    <n v="198"/>
    <n v="13"/>
    <n v="2.4"/>
    <n v="5.3"/>
    <x v="157"/>
    <n v="1"/>
    <s v="High screen time"/>
    <s v="High"/>
    <n v="34.375"/>
    <n v="3.4"/>
    <s v="Teen"/>
    <s v="No"/>
    <x v="1"/>
  </r>
  <r>
    <n v="199"/>
    <n v="17"/>
    <n v="2.2999999999999998"/>
    <n v="4"/>
    <x v="158"/>
    <n v="0.7"/>
    <s v="Low screen time"/>
    <s v="Average"/>
    <n v="28.826086956521738"/>
    <n v="3"/>
    <s v="Older Student"/>
    <s v="No"/>
    <x v="0"/>
  </r>
  <r>
    <n v="200"/>
    <n v="16"/>
    <n v="4.5"/>
    <n v="1.5"/>
    <x v="148"/>
    <n v="1.6"/>
    <s v="Low screen time"/>
    <s v="Average"/>
    <n v="16.600000000000001"/>
    <n v="6.1"/>
    <s v="Older Student"/>
    <s v="No"/>
    <x v="2"/>
  </r>
  <r>
    <n v="132"/>
    <n v="17"/>
    <n v="4.4000000000000004"/>
    <n v="5.8"/>
    <x v="105"/>
    <n v="1.5"/>
    <s v="High screen time"/>
    <s v="High"/>
    <n v="17.977272727272723"/>
    <n v="5.9"/>
    <s v="Older Student"/>
    <s v="No"/>
    <x v="1"/>
  </r>
  <r>
    <n v="46"/>
    <n v="13"/>
    <n v="1.8"/>
    <n v="4.9000000000000004"/>
    <x v="38"/>
    <n v="1.6"/>
    <s v="High screen time"/>
    <s v="Average"/>
    <n v="41.444444444444443"/>
    <n v="3.4000000000000004"/>
    <s v="Teen"/>
    <s v="No"/>
    <x v="1"/>
  </r>
  <r>
    <n v="129"/>
    <n v="17"/>
    <n v="2.8"/>
    <n v="4.7"/>
    <x v="102"/>
    <n v="1"/>
    <s v="High screen time"/>
    <s v="Average"/>
    <n v="20.750000000000004"/>
    <n v="3.8"/>
    <s v="Older Student"/>
    <s v="No"/>
    <x v="1"/>
  </r>
  <r>
    <n v="24"/>
    <n v="13"/>
    <n v="3.2"/>
    <n v="2.6"/>
    <x v="22"/>
    <n v="0"/>
    <s v="Low screen time"/>
    <s v="Average"/>
    <n v="16.625"/>
    <n v="3.2"/>
    <s v="Teen"/>
    <s v="No"/>
    <x v="0"/>
  </r>
  <r>
    <n v="39"/>
    <n v="13"/>
    <n v="2.4"/>
    <n v="3.2"/>
    <x v="35"/>
    <n v="1.8"/>
    <s v="Low screen time"/>
    <s v="High"/>
    <n v="31.958333333333336"/>
    <n v="4.2"/>
    <s v="Teen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A1024-9FCC-423F-AD3D-4423889B269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8" firstHeaderRow="1" firstDataRow="1" firstDataCol="1"/>
  <pivotFields count="13">
    <pivotField showAll="0"/>
    <pivotField showAll="0"/>
    <pivotField showAll="0"/>
    <pivotField showAll="0"/>
    <pivotField dataField="1" showAll="0">
      <items count="160">
        <item x="128"/>
        <item x="74"/>
        <item x="53"/>
        <item x="49"/>
        <item x="54"/>
        <item x="3"/>
        <item x="69"/>
        <item x="138"/>
        <item x="24"/>
        <item x="118"/>
        <item x="142"/>
        <item x="50"/>
        <item x="10"/>
        <item x="145"/>
        <item x="22"/>
        <item x="114"/>
        <item x="119"/>
        <item x="92"/>
        <item x="40"/>
        <item x="89"/>
        <item x="102"/>
        <item x="78"/>
        <item x="90"/>
        <item x="28"/>
        <item x="124"/>
        <item x="83"/>
        <item x="71"/>
        <item x="96"/>
        <item x="112"/>
        <item x="146"/>
        <item x="56"/>
        <item x="113"/>
        <item x="133"/>
        <item x="15"/>
        <item x="139"/>
        <item x="23"/>
        <item x="104"/>
        <item x="94"/>
        <item x="79"/>
        <item x="106"/>
        <item x="107"/>
        <item x="86"/>
        <item x="140"/>
        <item x="80"/>
        <item x="30"/>
        <item x="111"/>
        <item x="131"/>
        <item x="127"/>
        <item x="153"/>
        <item x="87"/>
        <item x="155"/>
        <item x="117"/>
        <item x="37"/>
        <item x="12"/>
        <item x="67"/>
        <item x="46"/>
        <item x="75"/>
        <item x="158"/>
        <item x="129"/>
        <item x="64"/>
        <item x="116"/>
        <item x="41"/>
        <item x="97"/>
        <item x="132"/>
        <item x="2"/>
        <item x="1"/>
        <item x="154"/>
        <item x="7"/>
        <item x="65"/>
        <item x="99"/>
        <item x="58"/>
        <item x="20"/>
        <item x="135"/>
        <item x="100"/>
        <item x="34"/>
        <item x="109"/>
        <item x="18"/>
        <item x="5"/>
        <item x="31"/>
        <item x="73"/>
        <item x="84"/>
        <item x="81"/>
        <item x="147"/>
        <item x="130"/>
        <item x="47"/>
        <item x="68"/>
        <item x="17"/>
        <item x="103"/>
        <item x="121"/>
        <item x="101"/>
        <item x="88"/>
        <item x="32"/>
        <item x="38"/>
        <item x="148"/>
        <item x="60"/>
        <item x="13"/>
        <item x="0"/>
        <item x="57"/>
        <item x="91"/>
        <item x="8"/>
        <item x="36"/>
        <item x="42"/>
        <item x="95"/>
        <item x="27"/>
        <item x="14"/>
        <item x="39"/>
        <item x="35"/>
        <item x="33"/>
        <item x="52"/>
        <item x="63"/>
        <item x="151"/>
        <item x="19"/>
        <item x="4"/>
        <item x="48"/>
        <item x="44"/>
        <item x="9"/>
        <item x="98"/>
        <item x="144"/>
        <item x="82"/>
        <item x="21"/>
        <item x="105"/>
        <item x="134"/>
        <item x="136"/>
        <item x="150"/>
        <item x="62"/>
        <item x="143"/>
        <item x="51"/>
        <item x="152"/>
        <item x="156"/>
        <item x="123"/>
        <item x="59"/>
        <item x="110"/>
        <item x="122"/>
        <item x="55"/>
        <item x="137"/>
        <item x="157"/>
        <item x="85"/>
        <item x="76"/>
        <item x="115"/>
        <item x="149"/>
        <item x="93"/>
        <item x="120"/>
        <item x="77"/>
        <item x="61"/>
        <item x="43"/>
        <item x="45"/>
        <item x="6"/>
        <item x="66"/>
        <item x="16"/>
        <item x="126"/>
        <item x="26"/>
        <item x="25"/>
        <item x="70"/>
        <item x="108"/>
        <item x="29"/>
        <item x="125"/>
        <item x="141"/>
        <item x="11"/>
        <item x="72"/>
        <item t="default"/>
      </items>
    </pivotField>
    <pivotField showAll="0"/>
    <pivotField showAll="0"/>
    <pivotField showAll="0"/>
    <pivotField numFmtId="170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est_Scores" fld="4" subtotal="average" baseField="12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8B6EE-F5BF-435D-A02E-8F0F939A28D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B18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70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Test_Scores" fld="4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BCAB4-0D68-4630-A69E-2652C447324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:B12" firstHeaderRow="1" firstDataRow="1" firstDataCol="1"/>
  <pivotFields count="12"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numFmtId="170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Extra_Curricular_Hours" fld="5" subtotal="average" baseField="6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3332C-8AB8-45E7-A6C3-9ECF9D071E9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6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numFmtId="170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Test_Scores" fld="4" subtotal="average" baseField="6" baseItem="0"/>
  </dataFields>
  <chartFormats count="1"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C83A9-DEE2-47FD-8974-838F4FF61C50}" name="Table3" displayName="Table3" ref="A1:M206" totalsRowShown="0">
  <autoFilter ref="A1:M206" xr:uid="{FA6C83A9-DEE2-47FD-8974-838F4FF61C50}"/>
  <tableColumns count="13">
    <tableColumn id="1" xr3:uid="{ADFB410C-6648-4A4E-A313-6E23880B92F6}" name="Student_ID"/>
    <tableColumn id="2" xr3:uid="{8B58E8F3-6EA9-4289-9DD7-D94A40CDCCAC}" name="Age"/>
    <tableColumn id="3" xr3:uid="{85E6D23C-4C96-4BE5-8D4C-F0C4559492CC}" name="Study_Hours"/>
    <tableColumn id="4" xr3:uid="{D64C156F-F0A8-4BB8-A1DF-48117A5D18F9}" name="Screen_Time"/>
    <tableColumn id="5" xr3:uid="{C5C433CB-562D-4E6C-9EC7-A63E87257DF5}" name="Test_Scores"/>
    <tableColumn id="6" xr3:uid="{BDF5CC62-8B17-46CF-9B06-135531A742AA}" name="Extra_Curricular_Hours"/>
    <tableColumn id="7" xr3:uid="{A7B6CD9F-68C6-4D57-866B-0951D3D5BBF3}" name="Screen time category">
      <calculatedColumnFormula>IF(D2&gt;4,"High screen time","Low screen time")</calculatedColumnFormula>
    </tableColumn>
    <tableColumn id="8" xr3:uid="{13A6C47A-FDE5-4FF5-8640-95CBACADFEF0}" name="Performance_Level">
      <calculatedColumnFormula>IF(E2&gt;=75,"High",IF(E2&gt;=50,"Average","Low"))</calculatedColumnFormula>
    </tableColumn>
    <tableColumn id="9" xr3:uid="{3CAAFDD5-A505-47A7-84ED-AF9A2FC1C692}" name="Study Efficiency" dataDxfId="2">
      <calculatedColumnFormula>E2/C2</calculatedColumnFormula>
    </tableColumn>
    <tableColumn id="10" xr3:uid="{0D5AF948-8F96-4919-A882-00DE818C201A}" name="Activity Balance">
      <calculatedColumnFormula>C2+F2</calculatedColumnFormula>
    </tableColumn>
    <tableColumn id="11" xr3:uid="{8F13505F-39D7-42EE-A301-F74C103AF338}" name="Age Group">
      <calculatedColumnFormula>IF(B2&lt;=15,"Teen","Older Student")</calculatedColumnFormula>
    </tableColumn>
    <tableColumn id="12" xr3:uid="{A9BBD362-8448-4F4C-8F67-2E1F3E599774}" name="High Risk Student">
      <calculatedColumnFormula>IF(AND(D2&gt;4,E2&lt;50),"Yes","No")</calculatedColumnFormula>
    </tableColumn>
    <tableColumn id="13" xr3:uid="{7BD408EE-909B-4657-9495-4C000AB5A479}" name="Screen time Range">
      <calculatedColumnFormula>IF(D2&lt;=2,"0-2 hrs",IF(D2&lt;=4,"2-4 hrs",IF(D2&lt;=6,"4-6 hrs","6+ hrs")))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05F3-3B90-4733-BB35-F2E0CE1B8F11}">
  <dimension ref="A1:Q206"/>
  <sheetViews>
    <sheetView workbookViewId="0">
      <selection activeCell="A6" sqref="A6"/>
    </sheetView>
  </sheetViews>
  <sheetFormatPr defaultRowHeight="14.5" x14ac:dyDescent="0.35"/>
  <cols>
    <col min="1" max="1" width="11.6328125" customWidth="1"/>
    <col min="2" max="2" width="5.81640625" customWidth="1"/>
    <col min="3" max="3" width="12.90625" customWidth="1"/>
    <col min="4" max="4" width="13.1796875" customWidth="1"/>
    <col min="5" max="5" width="12.6328125" customWidth="1"/>
    <col min="6" max="6" width="21.453125" customWidth="1"/>
    <col min="7" max="7" width="19.81640625" customWidth="1"/>
    <col min="8" max="8" width="18.26953125" customWidth="1"/>
    <col min="9" max="9" width="15.453125" customWidth="1"/>
    <col min="10" max="10" width="15.6328125" customWidth="1"/>
    <col min="11" max="11" width="11.90625" bestFit="1" customWidth="1"/>
    <col min="12" max="12" width="16.81640625" customWidth="1"/>
    <col min="13" max="13" width="17.8164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</v>
      </c>
    </row>
    <row r="2" spans="1:17" x14ac:dyDescent="0.35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  <c r="G2" t="str">
        <f>IF(D2&gt;4,"High screen time","Low screen time")</f>
        <v>Low screen time</v>
      </c>
      <c r="H2" t="str">
        <f>IF(E2&gt;=75,"High",IF(E2&gt;=50,"Average","Low"))</f>
        <v>High</v>
      </c>
      <c r="I2" s="1">
        <f>E2/C2</f>
        <v>30</v>
      </c>
      <c r="J2">
        <f>C2+F2</f>
        <v>4.0999999999999996</v>
      </c>
      <c r="K2" t="str">
        <f>IF(B2&lt;=15,"Teen","Older Student")</f>
        <v>Older Student</v>
      </c>
      <c r="L2" t="str">
        <f>IF(AND(D2&gt;4,E2&lt;50),"Yes","No")</f>
        <v>No</v>
      </c>
      <c r="M2" t="str">
        <f>IF(D2&lt;=2,"0-2 hrs",IF(D2&lt;=4,"2-4 hrs",IF(D2&lt;=6,"4-6 hrs","6+ hrs")))</f>
        <v>2-4 hrs</v>
      </c>
    </row>
    <row r="3" spans="1:17" x14ac:dyDescent="0.35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  <c r="G3" t="str">
        <f t="shared" ref="G3:G66" si="0">IF(D3&gt;4,"High screen time","Low screen time")</f>
        <v>Low screen time</v>
      </c>
      <c r="H3" t="str">
        <f t="shared" ref="H3:H66" si="1">IF(E3&gt;=75,"High",IF(E3&gt;=50,"Average","Low"))</f>
        <v>Average</v>
      </c>
      <c r="I3" s="1">
        <f t="shared" ref="I3:I66" si="2">E3/C3</f>
        <v>25.222222222222218</v>
      </c>
      <c r="J3">
        <f t="shared" ref="J3:J66" si="3">C3+F3</f>
        <v>3.4000000000000004</v>
      </c>
      <c r="K3" t="str">
        <f t="shared" ref="K3:K66" si="4">IF(B3&lt;=15,"Teen","Older Student")</f>
        <v>Older Student</v>
      </c>
      <c r="L3" t="str">
        <f t="shared" ref="L3:L66" si="5">IF(AND(D3&gt;4,E3&lt;50),"Yes","No")</f>
        <v>No</v>
      </c>
      <c r="M3" t="str">
        <f t="shared" ref="M3:M66" si="6">IF(D3&lt;=2,"0-2 hrs",IF(D3&lt;=4,"2-4 hrs",IF(D3&lt;=6,"4-6 hrs","6+ hrs")))</f>
        <v>2-4 hrs</v>
      </c>
      <c r="O3" t="s">
        <v>20</v>
      </c>
      <c r="Q3">
        <v>2.6</v>
      </c>
    </row>
    <row r="4" spans="1:17" x14ac:dyDescent="0.35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  <c r="G4" t="str">
        <f t="shared" si="0"/>
        <v>High screen time</v>
      </c>
      <c r="H4" t="str">
        <f t="shared" si="1"/>
        <v>Average</v>
      </c>
      <c r="I4" s="1">
        <f t="shared" si="2"/>
        <v>22.633333333333336</v>
      </c>
      <c r="J4">
        <f t="shared" si="3"/>
        <v>4.5</v>
      </c>
      <c r="K4" t="str">
        <f t="shared" si="4"/>
        <v>Teen</v>
      </c>
      <c r="L4" t="str">
        <f t="shared" si="5"/>
        <v>No</v>
      </c>
      <c r="M4" t="str">
        <f t="shared" si="6"/>
        <v>4-6 hrs</v>
      </c>
      <c r="O4" t="s">
        <v>21</v>
      </c>
      <c r="Q4">
        <v>70.900000000000006</v>
      </c>
    </row>
    <row r="5" spans="1:17" x14ac:dyDescent="0.35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  <c r="G5" t="str">
        <f t="shared" si="0"/>
        <v>Low screen time</v>
      </c>
      <c r="H5" t="str">
        <f t="shared" si="1"/>
        <v>Low</v>
      </c>
      <c r="I5" s="1">
        <f t="shared" si="2"/>
        <v>15.733333333333334</v>
      </c>
      <c r="J5">
        <f t="shared" si="3"/>
        <v>4.8</v>
      </c>
      <c r="K5" t="str">
        <f t="shared" si="4"/>
        <v>Older Student</v>
      </c>
      <c r="L5" t="str">
        <f t="shared" si="5"/>
        <v>No</v>
      </c>
      <c r="M5" t="str">
        <f t="shared" si="6"/>
        <v>2-4 hrs</v>
      </c>
      <c r="O5" t="s">
        <v>22</v>
      </c>
      <c r="Q5">
        <v>4</v>
      </c>
    </row>
    <row r="6" spans="1:17" x14ac:dyDescent="0.35">
      <c r="A6">
        <v>5</v>
      </c>
      <c r="B6">
        <v>17</v>
      </c>
      <c r="C6" s="2">
        <f ca="1">AVERAGE(C2:C206)</f>
        <v>2.5577889447236175</v>
      </c>
      <c r="D6">
        <v>1.8</v>
      </c>
      <c r="E6">
        <v>78</v>
      </c>
      <c r="F6">
        <v>1.4</v>
      </c>
      <c r="G6" t="str">
        <f t="shared" si="0"/>
        <v>Low screen time</v>
      </c>
      <c r="H6" t="str">
        <f t="shared" si="1"/>
        <v>High</v>
      </c>
      <c r="I6" s="1">
        <f t="shared" ca="1" si="2"/>
        <v>30</v>
      </c>
      <c r="J6">
        <f t="shared" ca="1" si="3"/>
        <v>4.0999999999999996</v>
      </c>
      <c r="K6" t="str">
        <f t="shared" si="4"/>
        <v>Older Student</v>
      </c>
      <c r="L6" t="str">
        <f t="shared" si="5"/>
        <v>No</v>
      </c>
      <c r="M6" t="str">
        <f t="shared" si="6"/>
        <v>0-2 hrs</v>
      </c>
    </row>
    <row r="7" spans="1:17" x14ac:dyDescent="0.35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  <c r="G7" t="str">
        <f t="shared" si="0"/>
        <v>High screen time</v>
      </c>
      <c r="H7" t="str">
        <f t="shared" si="1"/>
        <v>Average</v>
      </c>
      <c r="I7" s="1">
        <f t="shared" si="2"/>
        <v>55</v>
      </c>
      <c r="J7">
        <f t="shared" si="3"/>
        <v>1.7000000000000002</v>
      </c>
      <c r="K7" t="str">
        <f t="shared" si="4"/>
        <v>Teen</v>
      </c>
      <c r="L7" t="str">
        <f t="shared" si="5"/>
        <v>No</v>
      </c>
      <c r="M7" t="str">
        <f t="shared" si="6"/>
        <v>4-6 hrs</v>
      </c>
    </row>
    <row r="8" spans="1:17" x14ac:dyDescent="0.35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  <c r="G8" t="str">
        <f t="shared" si="0"/>
        <v>High screen time</v>
      </c>
      <c r="H8" t="str">
        <f t="shared" si="1"/>
        <v>High</v>
      </c>
      <c r="I8" s="1">
        <f t="shared" si="2"/>
        <v>26.666666666666668</v>
      </c>
      <c r="J8">
        <f t="shared" si="3"/>
        <v>6.1999999999999993</v>
      </c>
      <c r="K8" t="str">
        <f t="shared" si="4"/>
        <v>Teen</v>
      </c>
      <c r="L8" t="str">
        <f t="shared" si="5"/>
        <v>No</v>
      </c>
      <c r="M8" t="str">
        <f t="shared" si="6"/>
        <v>6+ hrs</v>
      </c>
    </row>
    <row r="9" spans="1:17" x14ac:dyDescent="0.35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  <c r="G9" t="str">
        <f t="shared" si="0"/>
        <v>High screen time</v>
      </c>
      <c r="H9" t="str">
        <f t="shared" si="1"/>
        <v>Average</v>
      </c>
      <c r="I9" s="1">
        <f t="shared" si="2"/>
        <v>23.896551724137932</v>
      </c>
      <c r="J9">
        <f t="shared" si="3"/>
        <v>4.5</v>
      </c>
      <c r="K9" t="str">
        <f t="shared" si="4"/>
        <v>Teen</v>
      </c>
      <c r="L9" t="str">
        <f t="shared" si="5"/>
        <v>No</v>
      </c>
      <c r="M9" t="str">
        <f t="shared" si="6"/>
        <v>4-6 hrs</v>
      </c>
    </row>
    <row r="10" spans="1:17" x14ac:dyDescent="0.35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  <c r="G10" t="str">
        <f t="shared" si="0"/>
        <v>High screen time</v>
      </c>
      <c r="H10" t="str">
        <f t="shared" si="1"/>
        <v>High</v>
      </c>
      <c r="I10" s="1">
        <f t="shared" si="2"/>
        <v>54.071428571428577</v>
      </c>
      <c r="J10">
        <f t="shared" si="3"/>
        <v>2.2999999999999998</v>
      </c>
      <c r="K10" t="str">
        <f t="shared" si="4"/>
        <v>Teen</v>
      </c>
      <c r="L10" t="str">
        <f t="shared" si="5"/>
        <v>No</v>
      </c>
      <c r="M10" t="str">
        <f t="shared" si="6"/>
        <v>4-6 hrs</v>
      </c>
    </row>
    <row r="11" spans="1:17" x14ac:dyDescent="0.35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  <c r="G11" t="str">
        <f t="shared" si="0"/>
        <v>High screen time</v>
      </c>
      <c r="H11" t="str">
        <f t="shared" si="1"/>
        <v>High</v>
      </c>
      <c r="I11" s="1">
        <f t="shared" si="2"/>
        <v>43.5</v>
      </c>
      <c r="J11">
        <f t="shared" si="3"/>
        <v>4.5999999999999996</v>
      </c>
      <c r="K11" t="str">
        <f t="shared" si="4"/>
        <v>Older Student</v>
      </c>
      <c r="L11" t="str">
        <f t="shared" si="5"/>
        <v>No</v>
      </c>
      <c r="M11" t="str">
        <f t="shared" si="6"/>
        <v>4-6 hrs</v>
      </c>
    </row>
    <row r="12" spans="1:17" x14ac:dyDescent="0.35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  <c r="G12" t="str">
        <f t="shared" si="0"/>
        <v>Low screen time</v>
      </c>
      <c r="H12" t="str">
        <f t="shared" si="1"/>
        <v>Average</v>
      </c>
      <c r="I12" s="1">
        <f t="shared" si="2"/>
        <v>15.441176470588236</v>
      </c>
      <c r="J12">
        <f t="shared" si="3"/>
        <v>5.4</v>
      </c>
      <c r="K12" t="str">
        <f t="shared" si="4"/>
        <v>Older Student</v>
      </c>
      <c r="L12" t="str">
        <f t="shared" si="5"/>
        <v>No</v>
      </c>
      <c r="M12" t="str">
        <f t="shared" si="6"/>
        <v>2-4 hrs</v>
      </c>
    </row>
    <row r="13" spans="1:17" x14ac:dyDescent="0.35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  <c r="G13" t="str">
        <f t="shared" si="0"/>
        <v>High screen time</v>
      </c>
      <c r="H13" t="str">
        <f t="shared" si="1"/>
        <v>High</v>
      </c>
      <c r="I13" s="1">
        <f t="shared" si="2"/>
        <v>31.032258064516128</v>
      </c>
      <c r="J13">
        <f t="shared" si="3"/>
        <v>3.6</v>
      </c>
      <c r="K13" t="str">
        <f t="shared" si="4"/>
        <v>Teen</v>
      </c>
      <c r="L13" t="str">
        <f t="shared" si="5"/>
        <v>No</v>
      </c>
      <c r="M13" t="str">
        <f t="shared" si="6"/>
        <v>4-6 hrs</v>
      </c>
    </row>
    <row r="14" spans="1:17" x14ac:dyDescent="0.35">
      <c r="A14">
        <v>13</v>
      </c>
      <c r="B14">
        <v>17</v>
      </c>
      <c r="C14">
        <v>1.8</v>
      </c>
      <c r="D14" s="3">
        <f ca="1">AVERAGE(D2:D206)</f>
        <v>4.013065326633166</v>
      </c>
      <c r="E14">
        <v>65.7</v>
      </c>
      <c r="F14">
        <v>0.7</v>
      </c>
      <c r="G14" t="str">
        <f t="shared" ca="1" si="0"/>
        <v>Low screen time</v>
      </c>
      <c r="H14" t="str">
        <f t="shared" si="1"/>
        <v>Average</v>
      </c>
      <c r="I14" s="1">
        <f t="shared" si="2"/>
        <v>36.5</v>
      </c>
      <c r="J14">
        <f t="shared" si="3"/>
        <v>2.5</v>
      </c>
      <c r="K14" t="str">
        <f t="shared" si="4"/>
        <v>Older Student</v>
      </c>
      <c r="L14" t="str">
        <f t="shared" ca="1" si="5"/>
        <v>No</v>
      </c>
      <c r="M14" t="str">
        <f t="shared" ca="1" si="6"/>
        <v>2-4 hrs</v>
      </c>
    </row>
    <row r="15" spans="1:17" x14ac:dyDescent="0.35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  <c r="G15" t="str">
        <f t="shared" si="0"/>
        <v>Low screen time</v>
      </c>
      <c r="H15" t="str">
        <f t="shared" si="1"/>
        <v>Average</v>
      </c>
      <c r="I15" s="1">
        <f t="shared" si="2"/>
        <v>34.045454545454547</v>
      </c>
      <c r="J15">
        <f t="shared" si="3"/>
        <v>3.5</v>
      </c>
      <c r="K15" t="str">
        <f t="shared" si="4"/>
        <v>Teen</v>
      </c>
      <c r="L15" t="str">
        <f t="shared" si="5"/>
        <v>No</v>
      </c>
      <c r="M15" t="str">
        <f t="shared" si="6"/>
        <v>0-2 hrs</v>
      </c>
    </row>
    <row r="16" spans="1:17" x14ac:dyDescent="0.35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  <c r="G16" t="str">
        <f t="shared" si="0"/>
        <v>Low screen time</v>
      </c>
      <c r="H16" t="str">
        <f t="shared" si="1"/>
        <v>High</v>
      </c>
      <c r="I16" s="1">
        <f t="shared" si="2"/>
        <v>31.833333333333336</v>
      </c>
      <c r="J16">
        <f t="shared" si="3"/>
        <v>4.0999999999999996</v>
      </c>
      <c r="K16" t="str">
        <f t="shared" si="4"/>
        <v>Older Student</v>
      </c>
      <c r="L16" t="str">
        <f t="shared" si="5"/>
        <v>No</v>
      </c>
      <c r="M16" t="str">
        <f t="shared" si="6"/>
        <v>0-2 hrs</v>
      </c>
    </row>
    <row r="17" spans="1:13" x14ac:dyDescent="0.35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  <c r="G17" t="str">
        <f t="shared" si="0"/>
        <v>High screen time</v>
      </c>
      <c r="H17" t="str">
        <f t="shared" si="1"/>
        <v>Average</v>
      </c>
      <c r="I17" s="1">
        <f t="shared" si="2"/>
        <v>19.967741935483868</v>
      </c>
      <c r="J17">
        <f t="shared" si="3"/>
        <v>5.0999999999999996</v>
      </c>
      <c r="K17" t="str">
        <f t="shared" si="4"/>
        <v>Teen</v>
      </c>
      <c r="L17" t="str">
        <f t="shared" si="5"/>
        <v>No</v>
      </c>
      <c r="M17" t="str">
        <f t="shared" si="6"/>
        <v>4-6 hrs</v>
      </c>
    </row>
    <row r="18" spans="1:13" x14ac:dyDescent="0.35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  <c r="G18" t="str">
        <f t="shared" si="0"/>
        <v>High screen time</v>
      </c>
      <c r="H18" t="str">
        <f t="shared" si="1"/>
        <v>High</v>
      </c>
      <c r="I18" s="1">
        <f t="shared" si="2"/>
        <v>23.918918918918919</v>
      </c>
      <c r="J18">
        <f t="shared" si="3"/>
        <v>6</v>
      </c>
      <c r="K18" t="str">
        <f t="shared" si="4"/>
        <v>Older Student</v>
      </c>
      <c r="L18" t="str">
        <f t="shared" si="5"/>
        <v>No</v>
      </c>
      <c r="M18" t="str">
        <f t="shared" si="6"/>
        <v>4-6 hrs</v>
      </c>
    </row>
    <row r="19" spans="1:13" x14ac:dyDescent="0.35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  <c r="G19" t="str">
        <f t="shared" si="0"/>
        <v>High screen time</v>
      </c>
      <c r="H19" t="str">
        <f t="shared" si="1"/>
        <v>Average</v>
      </c>
      <c r="I19" s="1">
        <f t="shared" si="2"/>
        <v>27.961538461538463</v>
      </c>
      <c r="J19">
        <f t="shared" si="3"/>
        <v>4.5</v>
      </c>
      <c r="K19" t="str">
        <f t="shared" si="4"/>
        <v>Older Student</v>
      </c>
      <c r="L19" t="str">
        <f t="shared" si="5"/>
        <v>No</v>
      </c>
      <c r="M19" t="str">
        <f t="shared" si="6"/>
        <v>4-6 hrs</v>
      </c>
    </row>
    <row r="20" spans="1:13" x14ac:dyDescent="0.35">
      <c r="A20">
        <v>19</v>
      </c>
      <c r="B20">
        <v>13</v>
      </c>
      <c r="C20" s="3">
        <f ca="1">AVERAGE(C16:C220)</f>
        <v>2.5577889447236175</v>
      </c>
      <c r="D20">
        <v>3.5</v>
      </c>
      <c r="E20">
        <v>67.900000000000006</v>
      </c>
      <c r="F20">
        <v>2.6</v>
      </c>
      <c r="G20" t="str">
        <f t="shared" si="0"/>
        <v>Low screen time</v>
      </c>
      <c r="H20" t="str">
        <f t="shared" si="1"/>
        <v>Average</v>
      </c>
      <c r="I20" s="1">
        <f t="shared" ca="1" si="2"/>
        <v>30</v>
      </c>
      <c r="J20">
        <f t="shared" ca="1" si="3"/>
        <v>4.0999999999999996</v>
      </c>
      <c r="K20" t="str">
        <f t="shared" si="4"/>
        <v>Teen</v>
      </c>
      <c r="L20" t="str">
        <f t="shared" si="5"/>
        <v>No</v>
      </c>
      <c r="M20" t="str">
        <f t="shared" si="6"/>
        <v>2-4 hrs</v>
      </c>
    </row>
    <row r="21" spans="1:13" x14ac:dyDescent="0.35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  <c r="G21" t="str">
        <f t="shared" si="0"/>
        <v>High screen time</v>
      </c>
      <c r="H21" t="str">
        <f t="shared" si="1"/>
        <v>Average</v>
      </c>
      <c r="I21" s="1">
        <f t="shared" si="2"/>
        <v>21.000000000000004</v>
      </c>
      <c r="J21">
        <f t="shared" si="3"/>
        <v>5</v>
      </c>
      <c r="K21" t="str">
        <f t="shared" si="4"/>
        <v>Older Student</v>
      </c>
      <c r="L21" t="str">
        <f t="shared" si="5"/>
        <v>No</v>
      </c>
      <c r="M21" t="str">
        <f t="shared" si="6"/>
        <v>4-6 hrs</v>
      </c>
    </row>
    <row r="22" spans="1:13" x14ac:dyDescent="0.35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  <c r="G22" t="str">
        <f t="shared" si="0"/>
        <v>High screen time</v>
      </c>
      <c r="H22" t="str">
        <f t="shared" si="1"/>
        <v>High</v>
      </c>
      <c r="I22" s="1">
        <f t="shared" si="2"/>
        <v>28.740740740740737</v>
      </c>
      <c r="J22">
        <f t="shared" si="3"/>
        <v>3.6</v>
      </c>
      <c r="K22" t="str">
        <f t="shared" si="4"/>
        <v>Teen</v>
      </c>
      <c r="L22" t="str">
        <f t="shared" si="5"/>
        <v>No</v>
      </c>
      <c r="M22" t="str">
        <f t="shared" si="6"/>
        <v>4-6 hrs</v>
      </c>
    </row>
    <row r="23" spans="1:13" x14ac:dyDescent="0.35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  <c r="G23" t="str">
        <f t="shared" si="0"/>
        <v>High screen time</v>
      </c>
      <c r="H23" t="str">
        <f t="shared" si="1"/>
        <v>Average</v>
      </c>
      <c r="I23" s="1">
        <f t="shared" si="2"/>
        <v>63.72727272727272</v>
      </c>
      <c r="J23">
        <f t="shared" si="3"/>
        <v>2.6</v>
      </c>
      <c r="K23" t="str">
        <f t="shared" si="4"/>
        <v>Older Student</v>
      </c>
      <c r="L23" t="str">
        <f t="shared" si="5"/>
        <v>No</v>
      </c>
      <c r="M23" t="str">
        <f t="shared" si="6"/>
        <v>4-6 hrs</v>
      </c>
    </row>
    <row r="24" spans="1:13" x14ac:dyDescent="0.35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  <c r="G24" t="str">
        <f t="shared" si="0"/>
        <v>High screen time</v>
      </c>
      <c r="H24" t="str">
        <f t="shared" si="1"/>
        <v>High</v>
      </c>
      <c r="I24" s="1">
        <f t="shared" si="2"/>
        <v>52.533333333333331</v>
      </c>
      <c r="J24">
        <f t="shared" si="3"/>
        <v>2.9</v>
      </c>
      <c r="K24" t="str">
        <f t="shared" si="4"/>
        <v>Older Student</v>
      </c>
      <c r="L24" t="str">
        <f t="shared" si="5"/>
        <v>No</v>
      </c>
      <c r="M24" t="str">
        <f t="shared" si="6"/>
        <v>4-6 hrs</v>
      </c>
    </row>
    <row r="25" spans="1:13" x14ac:dyDescent="0.35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  <c r="G25" t="str">
        <f t="shared" si="0"/>
        <v>Low screen time</v>
      </c>
      <c r="H25" t="str">
        <f t="shared" si="1"/>
        <v>Average</v>
      </c>
      <c r="I25" s="1">
        <f t="shared" si="2"/>
        <v>16.625</v>
      </c>
      <c r="J25">
        <f t="shared" si="3"/>
        <v>3.2</v>
      </c>
      <c r="K25" t="str">
        <f t="shared" si="4"/>
        <v>Teen</v>
      </c>
      <c r="L25" t="str">
        <f t="shared" si="5"/>
        <v>No</v>
      </c>
      <c r="M25" t="str">
        <f t="shared" si="6"/>
        <v>2-4 hrs</v>
      </c>
    </row>
    <row r="26" spans="1:13" x14ac:dyDescent="0.35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  <c r="G26" t="str">
        <f t="shared" si="0"/>
        <v>Low screen time</v>
      </c>
      <c r="H26" t="str">
        <f t="shared" si="1"/>
        <v>Average</v>
      </c>
      <c r="I26" s="1">
        <f t="shared" si="2"/>
        <v>78.125</v>
      </c>
      <c r="J26">
        <f t="shared" si="3"/>
        <v>1.9000000000000001</v>
      </c>
      <c r="K26" t="str">
        <f t="shared" si="4"/>
        <v>Teen</v>
      </c>
      <c r="L26" t="str">
        <f t="shared" si="5"/>
        <v>No</v>
      </c>
      <c r="M26" t="str">
        <f t="shared" si="6"/>
        <v>0-2 hrs</v>
      </c>
    </row>
    <row r="27" spans="1:13" x14ac:dyDescent="0.35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  <c r="G27" t="str">
        <f t="shared" si="0"/>
        <v>Low screen time</v>
      </c>
      <c r="H27" t="str">
        <f t="shared" si="1"/>
        <v>Low</v>
      </c>
      <c r="I27" s="1">
        <f t="shared" si="2"/>
        <v>18.692307692307693</v>
      </c>
      <c r="J27">
        <f t="shared" si="3"/>
        <v>4.4000000000000004</v>
      </c>
      <c r="K27" t="str">
        <f t="shared" si="4"/>
        <v>Teen</v>
      </c>
      <c r="L27" t="str">
        <f t="shared" si="5"/>
        <v>No</v>
      </c>
      <c r="M27" t="str">
        <f t="shared" si="6"/>
        <v>2-4 hrs</v>
      </c>
    </row>
    <row r="28" spans="1:13" x14ac:dyDescent="0.35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  <c r="G28" t="str">
        <f t="shared" si="0"/>
        <v>Low screen time</v>
      </c>
      <c r="H28" t="str">
        <f t="shared" si="1"/>
        <v>High</v>
      </c>
      <c r="I28" s="1">
        <f t="shared" si="2"/>
        <v>25.714285714285715</v>
      </c>
      <c r="J28">
        <f t="shared" si="3"/>
        <v>4.7</v>
      </c>
      <c r="K28" t="str">
        <f t="shared" si="4"/>
        <v>Teen</v>
      </c>
      <c r="L28" t="str">
        <f t="shared" si="5"/>
        <v>No</v>
      </c>
      <c r="M28" t="str">
        <f t="shared" si="6"/>
        <v>2-4 hrs</v>
      </c>
    </row>
    <row r="29" spans="1:13" x14ac:dyDescent="0.35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  <c r="G29" t="str">
        <f t="shared" si="0"/>
        <v>High screen time</v>
      </c>
      <c r="H29" t="str">
        <f t="shared" si="1"/>
        <v>High</v>
      </c>
      <c r="I29" s="1">
        <f t="shared" si="2"/>
        <v>33.25925925925926</v>
      </c>
      <c r="J29">
        <f t="shared" si="3"/>
        <v>3.7</v>
      </c>
      <c r="K29" t="str">
        <f t="shared" si="4"/>
        <v>Teen</v>
      </c>
      <c r="L29" t="str">
        <f t="shared" si="5"/>
        <v>No</v>
      </c>
      <c r="M29" t="str">
        <f t="shared" si="6"/>
        <v>4-6 hrs</v>
      </c>
    </row>
    <row r="30" spans="1:13" x14ac:dyDescent="0.35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  <c r="G30" t="str">
        <f t="shared" si="0"/>
        <v>Low screen time</v>
      </c>
      <c r="H30" t="str">
        <f t="shared" si="1"/>
        <v>High</v>
      </c>
      <c r="I30" s="1">
        <f t="shared" si="2"/>
        <v>40.157894736842103</v>
      </c>
      <c r="J30">
        <f t="shared" si="3"/>
        <v>4.0999999999999996</v>
      </c>
      <c r="K30" t="str">
        <f t="shared" si="4"/>
        <v>Older Student</v>
      </c>
      <c r="L30" t="str">
        <f t="shared" si="5"/>
        <v>No</v>
      </c>
      <c r="M30" t="str">
        <f t="shared" si="6"/>
        <v>2-4 hrs</v>
      </c>
    </row>
    <row r="31" spans="1:13" x14ac:dyDescent="0.35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  <c r="G31" t="str">
        <f t="shared" si="0"/>
        <v>Low screen time</v>
      </c>
      <c r="H31" t="str">
        <f t="shared" si="1"/>
        <v>Average</v>
      </c>
      <c r="I31" s="1">
        <f t="shared" si="2"/>
        <v>35.235294117647058</v>
      </c>
      <c r="J31">
        <f t="shared" si="3"/>
        <v>2.5</v>
      </c>
      <c r="K31" t="str">
        <f t="shared" si="4"/>
        <v>Older Student</v>
      </c>
      <c r="L31" t="str">
        <f t="shared" si="5"/>
        <v>No</v>
      </c>
      <c r="M31" t="str">
        <f t="shared" si="6"/>
        <v>0-2 hrs</v>
      </c>
    </row>
    <row r="32" spans="1:13" x14ac:dyDescent="0.35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  <c r="G32" t="str">
        <f t="shared" si="0"/>
        <v>Low screen time</v>
      </c>
      <c r="H32" t="str">
        <f t="shared" si="1"/>
        <v>High</v>
      </c>
      <c r="I32" s="1">
        <f t="shared" si="2"/>
        <v>28.454545454545457</v>
      </c>
      <c r="J32">
        <f t="shared" si="3"/>
        <v>5.4</v>
      </c>
      <c r="K32" t="str">
        <f t="shared" si="4"/>
        <v>Teen</v>
      </c>
      <c r="L32" t="str">
        <f t="shared" si="5"/>
        <v>No</v>
      </c>
      <c r="M32" t="str">
        <f t="shared" si="6"/>
        <v>2-4 hrs</v>
      </c>
    </row>
    <row r="33" spans="1:13" x14ac:dyDescent="0.35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  <c r="G33" t="str">
        <f t="shared" si="0"/>
        <v>Low screen time</v>
      </c>
      <c r="H33" t="str">
        <f t="shared" si="1"/>
        <v>Average</v>
      </c>
      <c r="I33" s="1">
        <f t="shared" si="2"/>
        <v>21.333333333333332</v>
      </c>
      <c r="J33">
        <f t="shared" si="3"/>
        <v>3.4</v>
      </c>
      <c r="K33" t="str">
        <f t="shared" si="4"/>
        <v>Older Student</v>
      </c>
      <c r="L33" t="str">
        <f t="shared" si="5"/>
        <v>No</v>
      </c>
      <c r="M33" t="str">
        <f t="shared" si="6"/>
        <v>0-2 hrs</v>
      </c>
    </row>
    <row r="34" spans="1:13" x14ac:dyDescent="0.35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  <c r="G34" t="str">
        <f t="shared" si="0"/>
        <v>High screen time</v>
      </c>
      <c r="H34" t="str">
        <f t="shared" si="1"/>
        <v>Average</v>
      </c>
      <c r="I34" s="1">
        <f t="shared" si="2"/>
        <v>30.863636363636363</v>
      </c>
      <c r="J34">
        <f t="shared" si="3"/>
        <v>5.9</v>
      </c>
      <c r="K34" t="str">
        <f t="shared" si="4"/>
        <v>Older Student</v>
      </c>
      <c r="L34" t="str">
        <f t="shared" si="5"/>
        <v>No</v>
      </c>
      <c r="M34" t="str">
        <f t="shared" si="6"/>
        <v>6+ hrs</v>
      </c>
    </row>
    <row r="35" spans="1:13" x14ac:dyDescent="0.35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  <c r="G35" t="str">
        <f t="shared" si="0"/>
        <v>High screen time</v>
      </c>
      <c r="H35" t="str">
        <f t="shared" si="1"/>
        <v>Average</v>
      </c>
      <c r="I35" s="1">
        <f t="shared" si="2"/>
        <v>19.888888888888886</v>
      </c>
      <c r="J35">
        <f t="shared" si="3"/>
        <v>4.9000000000000004</v>
      </c>
      <c r="K35" t="str">
        <f t="shared" si="4"/>
        <v>Teen</v>
      </c>
      <c r="L35" t="str">
        <f t="shared" si="5"/>
        <v>No</v>
      </c>
      <c r="M35" t="str">
        <f t="shared" si="6"/>
        <v>4-6 hrs</v>
      </c>
    </row>
    <row r="36" spans="1:13" x14ac:dyDescent="0.35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  <c r="G36" t="str">
        <f t="shared" si="0"/>
        <v>High screen time</v>
      </c>
      <c r="H36" t="str">
        <f t="shared" si="1"/>
        <v>Average</v>
      </c>
      <c r="I36" s="1">
        <f t="shared" si="2"/>
        <v>21.911764705882355</v>
      </c>
      <c r="J36">
        <f t="shared" si="3"/>
        <v>4.5999999999999996</v>
      </c>
      <c r="K36" t="str">
        <f t="shared" si="4"/>
        <v>Teen</v>
      </c>
      <c r="L36" t="str">
        <f t="shared" si="5"/>
        <v>No</v>
      </c>
      <c r="M36" t="str">
        <f t="shared" si="6"/>
        <v>4-6 hrs</v>
      </c>
    </row>
    <row r="37" spans="1:13" x14ac:dyDescent="0.35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  <c r="G37" t="str">
        <f t="shared" si="0"/>
        <v>High screen time</v>
      </c>
      <c r="H37" t="str">
        <f t="shared" si="1"/>
        <v>High</v>
      </c>
      <c r="I37" s="1">
        <f t="shared" si="2"/>
        <v>17.767441860465119</v>
      </c>
      <c r="J37">
        <f t="shared" si="3"/>
        <v>6.6999999999999993</v>
      </c>
      <c r="K37" t="str">
        <f t="shared" si="4"/>
        <v>Older Student</v>
      </c>
      <c r="L37" t="str">
        <f t="shared" si="5"/>
        <v>No</v>
      </c>
      <c r="M37" t="str">
        <f t="shared" si="6"/>
        <v>4-6 hrs</v>
      </c>
    </row>
    <row r="38" spans="1:13" x14ac:dyDescent="0.35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  <c r="G38" t="str">
        <f t="shared" si="0"/>
        <v>High screen time</v>
      </c>
      <c r="H38" t="str">
        <f t="shared" si="1"/>
        <v>High</v>
      </c>
      <c r="I38" s="1">
        <f t="shared" si="2"/>
        <v>24.774193548387096</v>
      </c>
      <c r="J38">
        <f t="shared" si="3"/>
        <v>4.3</v>
      </c>
      <c r="K38" t="str">
        <f t="shared" si="4"/>
        <v>Teen</v>
      </c>
      <c r="L38" t="str">
        <f t="shared" si="5"/>
        <v>No</v>
      </c>
      <c r="M38" t="str">
        <f t="shared" si="6"/>
        <v>4-6 hrs</v>
      </c>
    </row>
    <row r="39" spans="1:13" x14ac:dyDescent="0.35">
      <c r="A39">
        <v>38</v>
      </c>
      <c r="B39">
        <v>17</v>
      </c>
      <c r="C39">
        <v>2.2999999999999998</v>
      </c>
      <c r="D39">
        <v>5.7</v>
      </c>
      <c r="E39" s="3">
        <f ca="1">AVERAGE(E2:E206)</f>
        <v>70.850753768844243</v>
      </c>
      <c r="F39">
        <v>2.7</v>
      </c>
      <c r="G39" t="str">
        <f t="shared" si="0"/>
        <v>High screen time</v>
      </c>
      <c r="H39" t="str">
        <f t="shared" ca="1" si="1"/>
        <v>High</v>
      </c>
      <c r="I39" s="1">
        <f t="shared" ca="1" si="2"/>
        <v>30</v>
      </c>
      <c r="J39">
        <f t="shared" si="3"/>
        <v>5</v>
      </c>
      <c r="K39" t="str">
        <f t="shared" si="4"/>
        <v>Older Student</v>
      </c>
      <c r="L39" t="str">
        <f t="shared" ca="1" si="5"/>
        <v>No</v>
      </c>
      <c r="M39" t="str">
        <f t="shared" si="6"/>
        <v>4-6 hrs</v>
      </c>
    </row>
    <row r="40" spans="1:13" x14ac:dyDescent="0.35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  <c r="G40" t="str">
        <f t="shared" si="0"/>
        <v>Low screen time</v>
      </c>
      <c r="H40" t="str">
        <f t="shared" si="1"/>
        <v>High</v>
      </c>
      <c r="I40" s="1">
        <f t="shared" si="2"/>
        <v>31.958333333333336</v>
      </c>
      <c r="J40">
        <f t="shared" si="3"/>
        <v>4.2</v>
      </c>
      <c r="K40" t="str">
        <f t="shared" si="4"/>
        <v>Teen</v>
      </c>
      <c r="L40" t="str">
        <f t="shared" si="5"/>
        <v>No</v>
      </c>
      <c r="M40" t="str">
        <f t="shared" si="6"/>
        <v>2-4 hrs</v>
      </c>
    </row>
    <row r="41" spans="1:13" x14ac:dyDescent="0.35">
      <c r="A41">
        <v>40</v>
      </c>
      <c r="B41">
        <v>14</v>
      </c>
      <c r="C41">
        <v>0.6</v>
      </c>
      <c r="D41">
        <v>1.9</v>
      </c>
      <c r="E41" s="3">
        <f ca="1">AVERAGE(E4:E208)</f>
        <v>70.850753768844243</v>
      </c>
      <c r="F41">
        <v>1.4</v>
      </c>
      <c r="G41" t="str">
        <f t="shared" si="0"/>
        <v>Low screen time</v>
      </c>
      <c r="H41" t="str">
        <f t="shared" ca="1" si="1"/>
        <v>High</v>
      </c>
      <c r="I41" s="1">
        <f t="shared" ca="1" si="2"/>
        <v>30</v>
      </c>
      <c r="J41">
        <f t="shared" si="3"/>
        <v>2</v>
      </c>
      <c r="K41" t="str">
        <f t="shared" si="4"/>
        <v>Teen</v>
      </c>
      <c r="L41" t="str">
        <f t="shared" ca="1" si="5"/>
        <v>No</v>
      </c>
      <c r="M41" t="str">
        <f t="shared" si="6"/>
        <v>0-2 hrs</v>
      </c>
    </row>
    <row r="42" spans="1:13" x14ac:dyDescent="0.35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  <c r="G42" t="str">
        <f t="shared" si="0"/>
        <v>Low screen time</v>
      </c>
      <c r="H42" t="str">
        <f t="shared" si="1"/>
        <v>High</v>
      </c>
      <c r="I42" s="1">
        <f t="shared" si="2"/>
        <v>28.074074074074073</v>
      </c>
      <c r="J42">
        <f t="shared" si="3"/>
        <v>4</v>
      </c>
      <c r="K42" t="str">
        <f t="shared" si="4"/>
        <v>Older Student</v>
      </c>
      <c r="L42" t="str">
        <f t="shared" si="5"/>
        <v>No</v>
      </c>
      <c r="M42" t="str">
        <f t="shared" si="6"/>
        <v>2-4 hrs</v>
      </c>
    </row>
    <row r="43" spans="1:13" x14ac:dyDescent="0.35">
      <c r="A43">
        <v>42</v>
      </c>
      <c r="B43">
        <v>13</v>
      </c>
      <c r="C43" s="3">
        <f ca="1">AVERAGE(C39:C243)</f>
        <v>2.5577889447236175</v>
      </c>
      <c r="D43">
        <v>3.9</v>
      </c>
      <c r="E43">
        <v>75</v>
      </c>
      <c r="F43">
        <v>2.5</v>
      </c>
      <c r="G43" t="str">
        <f t="shared" si="0"/>
        <v>Low screen time</v>
      </c>
      <c r="H43" t="str">
        <f t="shared" si="1"/>
        <v>High</v>
      </c>
      <c r="I43" s="1">
        <f t="shared" ca="1" si="2"/>
        <v>30</v>
      </c>
      <c r="J43">
        <f t="shared" ca="1" si="3"/>
        <v>4.0999999999999996</v>
      </c>
      <c r="K43" t="str">
        <f t="shared" si="4"/>
        <v>Teen</v>
      </c>
      <c r="L43" t="str">
        <f t="shared" si="5"/>
        <v>No</v>
      </c>
      <c r="M43" t="str">
        <f t="shared" si="6"/>
        <v>2-4 hrs</v>
      </c>
    </row>
    <row r="44" spans="1:13" x14ac:dyDescent="0.35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  <c r="G44" t="str">
        <f t="shared" si="0"/>
        <v>Low screen time</v>
      </c>
      <c r="H44" t="str">
        <f t="shared" si="1"/>
        <v>High</v>
      </c>
      <c r="I44" s="1">
        <f t="shared" si="2"/>
        <v>64.666666666666671</v>
      </c>
      <c r="J44">
        <f t="shared" si="3"/>
        <v>2.9</v>
      </c>
      <c r="K44" t="str">
        <f t="shared" si="4"/>
        <v>Older Student</v>
      </c>
      <c r="L44" t="str">
        <f t="shared" si="5"/>
        <v>No</v>
      </c>
      <c r="M44" t="str">
        <f t="shared" si="6"/>
        <v>0-2 hrs</v>
      </c>
    </row>
    <row r="45" spans="1:13" x14ac:dyDescent="0.35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  <c r="G45" t="str">
        <f t="shared" si="0"/>
        <v>High screen time</v>
      </c>
      <c r="H45" t="str">
        <f t="shared" si="1"/>
        <v>High</v>
      </c>
      <c r="I45" s="1">
        <f t="shared" si="2"/>
        <v>30.560000000000002</v>
      </c>
      <c r="J45">
        <f t="shared" si="3"/>
        <v>4.3</v>
      </c>
      <c r="K45" t="str">
        <f t="shared" si="4"/>
        <v>Teen</v>
      </c>
      <c r="L45" t="str">
        <f t="shared" si="5"/>
        <v>No</v>
      </c>
      <c r="M45" t="str">
        <f t="shared" si="6"/>
        <v>4-6 hrs</v>
      </c>
    </row>
    <row r="46" spans="1:13" x14ac:dyDescent="0.35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  <c r="G46" t="str">
        <f t="shared" si="0"/>
        <v>Low screen time</v>
      </c>
      <c r="H46" t="str">
        <f t="shared" si="1"/>
        <v>Average</v>
      </c>
      <c r="I46" s="1">
        <f t="shared" si="2"/>
        <v>17.263157894736842</v>
      </c>
      <c r="J46">
        <f t="shared" si="3"/>
        <v>5.6999999999999993</v>
      </c>
      <c r="K46" t="str">
        <f t="shared" si="4"/>
        <v>Teen</v>
      </c>
      <c r="L46" t="str">
        <f t="shared" si="5"/>
        <v>No</v>
      </c>
      <c r="M46" t="str">
        <f t="shared" si="6"/>
        <v>0-2 hrs</v>
      </c>
    </row>
    <row r="47" spans="1:13" x14ac:dyDescent="0.35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  <c r="G47" t="str">
        <f t="shared" si="0"/>
        <v>High screen time</v>
      </c>
      <c r="H47" t="str">
        <f t="shared" si="1"/>
        <v>Average</v>
      </c>
      <c r="I47" s="1">
        <f t="shared" si="2"/>
        <v>41.444444444444443</v>
      </c>
      <c r="J47">
        <f t="shared" si="3"/>
        <v>3.4000000000000004</v>
      </c>
      <c r="K47" t="str">
        <f t="shared" si="4"/>
        <v>Teen</v>
      </c>
      <c r="L47" t="str">
        <f t="shared" si="5"/>
        <v>No</v>
      </c>
      <c r="M47" t="str">
        <f t="shared" si="6"/>
        <v>4-6 hrs</v>
      </c>
    </row>
    <row r="48" spans="1:13" x14ac:dyDescent="0.35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  <c r="G48" t="str">
        <f t="shared" si="0"/>
        <v>Low screen time</v>
      </c>
      <c r="H48" t="str">
        <f t="shared" si="1"/>
        <v>High</v>
      </c>
      <c r="I48" s="1">
        <f t="shared" si="2"/>
        <v>51</v>
      </c>
      <c r="J48">
        <f t="shared" si="3"/>
        <v>3.4</v>
      </c>
      <c r="K48" t="str">
        <f t="shared" si="4"/>
        <v>Teen</v>
      </c>
      <c r="L48" t="str">
        <f t="shared" si="5"/>
        <v>No</v>
      </c>
      <c r="M48" t="str">
        <f t="shared" si="6"/>
        <v>2-4 hrs</v>
      </c>
    </row>
    <row r="49" spans="1:13" x14ac:dyDescent="0.35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  <c r="G49" t="str">
        <f t="shared" si="0"/>
        <v>High screen time</v>
      </c>
      <c r="H49" t="str">
        <f t="shared" si="1"/>
        <v>Average</v>
      </c>
      <c r="I49" s="1">
        <f t="shared" si="2"/>
        <v>15.861111111111111</v>
      </c>
      <c r="J49">
        <f t="shared" si="3"/>
        <v>5</v>
      </c>
      <c r="K49" t="str">
        <f t="shared" si="4"/>
        <v>Older Student</v>
      </c>
      <c r="L49" t="str">
        <f t="shared" si="5"/>
        <v>No</v>
      </c>
      <c r="M49" t="str">
        <f t="shared" si="6"/>
        <v>4-6 hrs</v>
      </c>
    </row>
    <row r="50" spans="1:13" x14ac:dyDescent="0.35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  <c r="G50" t="str">
        <f t="shared" si="0"/>
        <v>Low screen time</v>
      </c>
      <c r="H50" t="str">
        <f t="shared" si="1"/>
        <v>Average</v>
      </c>
      <c r="I50" s="1">
        <f t="shared" si="2"/>
        <v>21.709677419354836</v>
      </c>
      <c r="J50">
        <f t="shared" si="3"/>
        <v>4.5999999999999996</v>
      </c>
      <c r="K50" t="str">
        <f t="shared" si="4"/>
        <v>Teen</v>
      </c>
      <c r="L50" t="str">
        <f t="shared" si="5"/>
        <v>No</v>
      </c>
      <c r="M50" t="str">
        <f t="shared" si="6"/>
        <v>2-4 hrs</v>
      </c>
    </row>
    <row r="51" spans="1:13" x14ac:dyDescent="0.35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  <c r="G51" t="str">
        <f t="shared" si="0"/>
        <v>High screen time</v>
      </c>
      <c r="H51" t="str">
        <f t="shared" si="1"/>
        <v>High</v>
      </c>
      <c r="I51" s="1">
        <f t="shared" si="2"/>
        <v>13.589285714285714</v>
      </c>
      <c r="J51">
        <f t="shared" si="3"/>
        <v>6.1999999999999993</v>
      </c>
      <c r="K51" t="str">
        <f t="shared" si="4"/>
        <v>Older Student</v>
      </c>
      <c r="L51" t="str">
        <f t="shared" si="5"/>
        <v>No</v>
      </c>
      <c r="M51" t="str">
        <f t="shared" si="6"/>
        <v>4-6 hrs</v>
      </c>
    </row>
    <row r="52" spans="1:13" x14ac:dyDescent="0.35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  <c r="G52" t="str">
        <f t="shared" si="0"/>
        <v>Low screen time</v>
      </c>
      <c r="H52" t="str">
        <f t="shared" si="1"/>
        <v>High</v>
      </c>
      <c r="I52" s="1">
        <f t="shared" si="2"/>
        <v>72.583333333333329</v>
      </c>
      <c r="J52">
        <f t="shared" si="3"/>
        <v>2.9</v>
      </c>
      <c r="K52" t="str">
        <f t="shared" si="4"/>
        <v>Older Student</v>
      </c>
      <c r="L52" t="str">
        <f t="shared" si="5"/>
        <v>No</v>
      </c>
      <c r="M52" t="str">
        <f t="shared" si="6"/>
        <v>2-4 hrs</v>
      </c>
    </row>
    <row r="53" spans="1:13" x14ac:dyDescent="0.35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  <c r="G53" t="str">
        <f t="shared" si="0"/>
        <v>Low screen time</v>
      </c>
      <c r="H53" t="str">
        <f t="shared" si="1"/>
        <v>High</v>
      </c>
      <c r="I53" s="1">
        <f t="shared" si="2"/>
        <v>24.4375</v>
      </c>
      <c r="J53">
        <f t="shared" si="3"/>
        <v>3.3000000000000003</v>
      </c>
      <c r="K53" t="str">
        <f t="shared" si="4"/>
        <v>Older Student</v>
      </c>
      <c r="L53" t="str">
        <f t="shared" si="5"/>
        <v>No</v>
      </c>
      <c r="M53" t="str">
        <f t="shared" si="6"/>
        <v>2-4 hrs</v>
      </c>
    </row>
    <row r="54" spans="1:13" x14ac:dyDescent="0.35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  <c r="G54" t="str">
        <f t="shared" si="0"/>
        <v>Low screen time</v>
      </c>
      <c r="H54" t="str">
        <f t="shared" si="1"/>
        <v>High</v>
      </c>
      <c r="I54" s="1">
        <f t="shared" si="2"/>
        <v>31.321428571428573</v>
      </c>
      <c r="J54">
        <f t="shared" si="3"/>
        <v>4.5</v>
      </c>
      <c r="K54" t="str">
        <f t="shared" si="4"/>
        <v>Older Student</v>
      </c>
      <c r="L54" t="str">
        <f t="shared" si="5"/>
        <v>No</v>
      </c>
      <c r="M54" t="str">
        <f t="shared" si="6"/>
        <v>2-4 hrs</v>
      </c>
    </row>
    <row r="55" spans="1:13" x14ac:dyDescent="0.35">
      <c r="A55">
        <v>54</v>
      </c>
      <c r="B55">
        <v>17</v>
      </c>
      <c r="C55" s="4">
        <v>2.6</v>
      </c>
      <c r="D55" s="3">
        <f ca="1">AVERAGE(D43:D247)</f>
        <v>4.013065326633166</v>
      </c>
      <c r="E55">
        <v>66</v>
      </c>
      <c r="F55">
        <v>1.3</v>
      </c>
      <c r="G55" t="str">
        <f t="shared" ca="1" si="0"/>
        <v>Low screen time</v>
      </c>
      <c r="H55" t="str">
        <f t="shared" si="1"/>
        <v>Average</v>
      </c>
      <c r="I55" s="1">
        <f t="shared" si="2"/>
        <v>25.384615384615383</v>
      </c>
      <c r="J55">
        <f t="shared" si="3"/>
        <v>3.9000000000000004</v>
      </c>
      <c r="K55" t="str">
        <f t="shared" si="4"/>
        <v>Older Student</v>
      </c>
      <c r="L55" t="str">
        <f t="shared" ca="1" si="5"/>
        <v>No</v>
      </c>
      <c r="M55" t="str">
        <f t="shared" ca="1" si="6"/>
        <v>2-4 hrs</v>
      </c>
    </row>
    <row r="56" spans="1:13" x14ac:dyDescent="0.35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  <c r="G56" t="str">
        <f t="shared" si="0"/>
        <v>High screen time</v>
      </c>
      <c r="H56" t="str">
        <f t="shared" si="1"/>
        <v>Average</v>
      </c>
      <c r="I56" s="1">
        <f t="shared" si="2"/>
        <v>21.323529411764707</v>
      </c>
      <c r="J56">
        <f t="shared" si="3"/>
        <v>5.2</v>
      </c>
      <c r="K56" t="str">
        <f t="shared" si="4"/>
        <v>Teen</v>
      </c>
      <c r="L56" t="str">
        <f t="shared" si="5"/>
        <v>No</v>
      </c>
      <c r="M56" t="str">
        <f t="shared" si="6"/>
        <v>4-6 hrs</v>
      </c>
    </row>
    <row r="57" spans="1:13" x14ac:dyDescent="0.35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  <c r="G57" t="str">
        <f t="shared" si="0"/>
        <v>High screen time</v>
      </c>
      <c r="H57" t="str">
        <f t="shared" si="1"/>
        <v>High</v>
      </c>
      <c r="I57" s="1">
        <f t="shared" si="2"/>
        <v>31.24</v>
      </c>
      <c r="J57">
        <f t="shared" si="3"/>
        <v>3.2</v>
      </c>
      <c r="K57" t="str">
        <f t="shared" si="4"/>
        <v>Teen</v>
      </c>
      <c r="L57" t="str">
        <f t="shared" si="5"/>
        <v>No</v>
      </c>
      <c r="M57" t="str">
        <f t="shared" si="6"/>
        <v>4-6 hrs</v>
      </c>
    </row>
    <row r="58" spans="1:13" x14ac:dyDescent="0.35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  <c r="G58" t="str">
        <f t="shared" si="0"/>
        <v>Low screen time</v>
      </c>
      <c r="H58" t="str">
        <f t="shared" si="1"/>
        <v>Low</v>
      </c>
      <c r="I58" s="1">
        <f t="shared" si="2"/>
        <v>77.833333333333343</v>
      </c>
      <c r="J58">
        <f t="shared" si="3"/>
        <v>0.6</v>
      </c>
      <c r="K58" t="str">
        <f t="shared" si="4"/>
        <v>Older Student</v>
      </c>
      <c r="L58" t="str">
        <f t="shared" si="5"/>
        <v>No</v>
      </c>
      <c r="M58" t="str">
        <f t="shared" si="6"/>
        <v>2-4 hrs</v>
      </c>
    </row>
    <row r="59" spans="1:13" x14ac:dyDescent="0.35">
      <c r="A59">
        <v>58</v>
      </c>
      <c r="B59">
        <v>14</v>
      </c>
      <c r="C59">
        <v>1.7</v>
      </c>
      <c r="D59">
        <v>3.6</v>
      </c>
      <c r="E59" s="3">
        <f ca="1">AVERAGE(E22:E226)</f>
        <v>70.850753768844243</v>
      </c>
      <c r="F59">
        <v>1.2</v>
      </c>
      <c r="G59" t="str">
        <f t="shared" si="0"/>
        <v>Low screen time</v>
      </c>
      <c r="H59" t="str">
        <f t="shared" ca="1" si="1"/>
        <v>High</v>
      </c>
      <c r="I59" s="1">
        <f t="shared" ca="1" si="2"/>
        <v>30</v>
      </c>
      <c r="J59">
        <f t="shared" si="3"/>
        <v>2.9</v>
      </c>
      <c r="K59" t="str">
        <f t="shared" si="4"/>
        <v>Teen</v>
      </c>
      <c r="L59" t="str">
        <f t="shared" ca="1" si="5"/>
        <v>No</v>
      </c>
      <c r="M59" t="str">
        <f t="shared" si="6"/>
        <v>2-4 hrs</v>
      </c>
    </row>
    <row r="60" spans="1:13" x14ac:dyDescent="0.35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  <c r="G60" t="str">
        <f t="shared" si="0"/>
        <v>Low screen time</v>
      </c>
      <c r="H60" t="str">
        <f t="shared" si="1"/>
        <v>Average</v>
      </c>
      <c r="I60" s="1">
        <f t="shared" si="2"/>
        <v>13.179487179487179</v>
      </c>
      <c r="J60">
        <f t="shared" si="3"/>
        <v>4.5999999999999996</v>
      </c>
      <c r="K60" t="str">
        <f t="shared" si="4"/>
        <v>Older Student</v>
      </c>
      <c r="L60" t="str">
        <f t="shared" si="5"/>
        <v>No</v>
      </c>
      <c r="M60" t="str">
        <f t="shared" si="6"/>
        <v>2-4 hrs</v>
      </c>
    </row>
    <row r="61" spans="1:13" x14ac:dyDescent="0.35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  <c r="G61" t="str">
        <f t="shared" si="0"/>
        <v>Low screen time</v>
      </c>
      <c r="H61" t="str">
        <f t="shared" si="1"/>
        <v>High</v>
      </c>
      <c r="I61" s="1">
        <f t="shared" si="2"/>
        <v>21.621621621621621</v>
      </c>
      <c r="J61">
        <f t="shared" si="3"/>
        <v>3.8000000000000003</v>
      </c>
      <c r="K61" t="str">
        <f t="shared" si="4"/>
        <v>Teen</v>
      </c>
      <c r="L61" t="str">
        <f t="shared" si="5"/>
        <v>No</v>
      </c>
      <c r="M61" t="str">
        <f t="shared" si="6"/>
        <v>2-4 hrs</v>
      </c>
    </row>
    <row r="62" spans="1:13" x14ac:dyDescent="0.35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  <c r="G62" t="str">
        <f t="shared" si="0"/>
        <v>Low screen time</v>
      </c>
      <c r="H62" t="str">
        <f t="shared" si="1"/>
        <v>High</v>
      </c>
      <c r="I62" s="1">
        <f t="shared" si="2"/>
        <v>36.61904761904762</v>
      </c>
      <c r="J62">
        <f t="shared" si="3"/>
        <v>4.2</v>
      </c>
      <c r="K62" t="str">
        <f t="shared" si="4"/>
        <v>Teen</v>
      </c>
      <c r="L62" t="str">
        <f t="shared" si="5"/>
        <v>No</v>
      </c>
      <c r="M62" t="str">
        <f t="shared" si="6"/>
        <v>2-4 hrs</v>
      </c>
    </row>
    <row r="63" spans="1:13" x14ac:dyDescent="0.35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  <c r="G63" t="str">
        <f t="shared" si="0"/>
        <v>High screen time</v>
      </c>
      <c r="H63" t="str">
        <f t="shared" si="1"/>
        <v>Low</v>
      </c>
      <c r="I63" s="1">
        <f t="shared" si="2"/>
        <v>15.533333333333333</v>
      </c>
      <c r="J63">
        <f t="shared" si="3"/>
        <v>5.8</v>
      </c>
      <c r="K63" t="str">
        <f t="shared" si="4"/>
        <v>Older Student</v>
      </c>
      <c r="L63" t="str">
        <f t="shared" si="5"/>
        <v>Yes</v>
      </c>
      <c r="M63" t="str">
        <f t="shared" si="6"/>
        <v>6+ hrs</v>
      </c>
    </row>
    <row r="64" spans="1:13" x14ac:dyDescent="0.35">
      <c r="A64">
        <v>63</v>
      </c>
      <c r="B64">
        <v>17</v>
      </c>
      <c r="C64">
        <v>5.3</v>
      </c>
      <c r="D64" s="3">
        <f ca="1">AVERAGE(D52:D256)</f>
        <v>4.013065326633166</v>
      </c>
      <c r="E64">
        <v>47.1</v>
      </c>
      <c r="F64">
        <v>0.9</v>
      </c>
      <c r="G64" t="str">
        <f t="shared" ca="1" si="0"/>
        <v>Low screen time</v>
      </c>
      <c r="H64" t="str">
        <f t="shared" si="1"/>
        <v>Low</v>
      </c>
      <c r="I64" s="1">
        <f t="shared" si="2"/>
        <v>8.8867924528301891</v>
      </c>
      <c r="J64">
        <f t="shared" si="3"/>
        <v>6.2</v>
      </c>
      <c r="K64" t="str">
        <f t="shared" si="4"/>
        <v>Older Student</v>
      </c>
      <c r="L64" t="str">
        <f t="shared" ca="1" si="5"/>
        <v>No</v>
      </c>
      <c r="M64" t="str">
        <f t="shared" ca="1" si="6"/>
        <v>2-4 hrs</v>
      </c>
    </row>
    <row r="65" spans="1:13" x14ac:dyDescent="0.35">
      <c r="A65">
        <v>64</v>
      </c>
      <c r="B65">
        <v>14</v>
      </c>
      <c r="C65">
        <v>2.5</v>
      </c>
      <c r="D65">
        <v>2.7</v>
      </c>
      <c r="E65" s="3">
        <f ca="1">AVERAGE(E28:E232)</f>
        <v>70.850753768844243</v>
      </c>
      <c r="F65">
        <v>1.4</v>
      </c>
      <c r="G65" t="str">
        <f t="shared" si="0"/>
        <v>Low screen time</v>
      </c>
      <c r="H65" t="str">
        <f t="shared" ca="1" si="1"/>
        <v>High</v>
      </c>
      <c r="I65" s="1">
        <f t="shared" ca="1" si="2"/>
        <v>30</v>
      </c>
      <c r="J65">
        <f t="shared" si="3"/>
        <v>3.9</v>
      </c>
      <c r="K65" t="str">
        <f t="shared" si="4"/>
        <v>Teen</v>
      </c>
      <c r="L65" t="str">
        <f t="shared" ca="1" si="5"/>
        <v>No</v>
      </c>
      <c r="M65" t="str">
        <f t="shared" si="6"/>
        <v>2-4 hrs</v>
      </c>
    </row>
    <row r="66" spans="1:13" x14ac:dyDescent="0.35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  <c r="G66" t="str">
        <f t="shared" si="0"/>
        <v>Low screen time</v>
      </c>
      <c r="H66" t="str">
        <f t="shared" si="1"/>
        <v>High</v>
      </c>
      <c r="I66" s="1">
        <f t="shared" si="2"/>
        <v>32.839999999999996</v>
      </c>
      <c r="J66">
        <f t="shared" si="3"/>
        <v>3.8</v>
      </c>
      <c r="K66" t="str">
        <f t="shared" si="4"/>
        <v>Teen</v>
      </c>
      <c r="L66" t="str">
        <f t="shared" si="5"/>
        <v>No</v>
      </c>
      <c r="M66" t="str">
        <f t="shared" si="6"/>
        <v>0-2 hrs</v>
      </c>
    </row>
    <row r="67" spans="1:13" x14ac:dyDescent="0.35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  <c r="G67" t="str">
        <f t="shared" ref="G67:G130" si="7">IF(D67&gt;4,"High screen time","Low screen time")</f>
        <v>Low screen time</v>
      </c>
      <c r="H67" t="str">
        <f t="shared" ref="H67:H130" si="8">IF(E67&gt;=75,"High",IF(E67&gt;=50,"Average","Low"))</f>
        <v>Average</v>
      </c>
      <c r="I67" s="1">
        <f t="shared" ref="I67:I130" si="9">E67/C67</f>
        <v>22.666666666666668</v>
      </c>
      <c r="J67">
        <f t="shared" ref="J67:J130" si="10">C67+F67</f>
        <v>3.7</v>
      </c>
      <c r="K67" t="str">
        <f t="shared" ref="K67:K130" si="11">IF(B67&lt;=15,"Teen","Older Student")</f>
        <v>Older Student</v>
      </c>
      <c r="L67" t="str">
        <f t="shared" ref="L67:L130" si="12">IF(AND(D67&gt;4,E67&lt;50),"Yes","No")</f>
        <v>No</v>
      </c>
      <c r="M67" t="str">
        <f t="shared" ref="M67:M130" si="13">IF(D67&lt;=2,"0-2 hrs",IF(D67&lt;=4,"2-4 hrs",IF(D67&lt;=6,"4-6 hrs","6+ hrs")))</f>
        <v>2-4 hrs</v>
      </c>
    </row>
    <row r="68" spans="1:13" x14ac:dyDescent="0.35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  <c r="G68" t="str">
        <f t="shared" si="7"/>
        <v>Low screen time</v>
      </c>
      <c r="H68" t="str">
        <f t="shared" si="8"/>
        <v>Average</v>
      </c>
      <c r="I68" s="1">
        <f t="shared" si="9"/>
        <v>19.741935483870968</v>
      </c>
      <c r="J68">
        <f t="shared" si="10"/>
        <v>5.0999999999999996</v>
      </c>
      <c r="K68" t="str">
        <f t="shared" si="11"/>
        <v>Teen</v>
      </c>
      <c r="L68" t="str">
        <f t="shared" si="12"/>
        <v>No</v>
      </c>
      <c r="M68" t="str">
        <f t="shared" si="13"/>
        <v>2-4 hrs</v>
      </c>
    </row>
    <row r="69" spans="1:13" x14ac:dyDescent="0.35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  <c r="G69" t="str">
        <f t="shared" si="7"/>
        <v>Low screen time</v>
      </c>
      <c r="H69" t="str">
        <f t="shared" si="8"/>
        <v>High</v>
      </c>
      <c r="I69" s="1">
        <f t="shared" si="9"/>
        <v>34.136363636363633</v>
      </c>
      <c r="J69">
        <f t="shared" si="10"/>
        <v>4.5</v>
      </c>
      <c r="K69" t="str">
        <f t="shared" si="11"/>
        <v>Teen</v>
      </c>
      <c r="L69" t="str">
        <f t="shared" si="12"/>
        <v>No</v>
      </c>
      <c r="M69" t="str">
        <f t="shared" si="13"/>
        <v>2-4 hrs</v>
      </c>
    </row>
    <row r="70" spans="1:13" x14ac:dyDescent="0.35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  <c r="G70" t="str">
        <f t="shared" si="7"/>
        <v>Low screen time</v>
      </c>
      <c r="H70" t="str">
        <f t="shared" si="8"/>
        <v>Average</v>
      </c>
      <c r="I70" s="1">
        <f t="shared" si="9"/>
        <v>22.548387096774196</v>
      </c>
      <c r="J70">
        <f t="shared" si="10"/>
        <v>3.9000000000000004</v>
      </c>
      <c r="K70" t="str">
        <f t="shared" si="11"/>
        <v>Older Student</v>
      </c>
      <c r="L70" t="str">
        <f t="shared" si="12"/>
        <v>No</v>
      </c>
      <c r="M70" t="str">
        <f t="shared" si="13"/>
        <v>2-4 hrs</v>
      </c>
    </row>
    <row r="71" spans="1:13" x14ac:dyDescent="0.35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  <c r="G71" t="str">
        <f t="shared" si="7"/>
        <v>Low screen time</v>
      </c>
      <c r="H71" t="str">
        <f t="shared" si="8"/>
        <v>High</v>
      </c>
      <c r="I71" s="1">
        <f t="shared" si="9"/>
        <v>134.16666666666669</v>
      </c>
      <c r="J71">
        <f t="shared" si="10"/>
        <v>2.1</v>
      </c>
      <c r="K71" t="str">
        <f t="shared" si="11"/>
        <v>Older Student</v>
      </c>
      <c r="L71" t="str">
        <f t="shared" si="12"/>
        <v>No</v>
      </c>
      <c r="M71" t="str">
        <f t="shared" si="13"/>
        <v>0-2 hrs</v>
      </c>
    </row>
    <row r="72" spans="1:13" x14ac:dyDescent="0.35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  <c r="G72" t="str">
        <f t="shared" si="7"/>
        <v>Low screen time</v>
      </c>
      <c r="H72" t="str">
        <f t="shared" si="8"/>
        <v>Average</v>
      </c>
      <c r="I72" s="1">
        <f t="shared" si="9"/>
        <v>26.714285714285715</v>
      </c>
      <c r="J72">
        <f t="shared" si="10"/>
        <v>5.3</v>
      </c>
      <c r="K72" t="str">
        <f t="shared" si="11"/>
        <v>Teen</v>
      </c>
      <c r="L72" t="str">
        <f t="shared" si="12"/>
        <v>No</v>
      </c>
      <c r="M72" t="str">
        <f t="shared" si="13"/>
        <v>0-2 hrs</v>
      </c>
    </row>
    <row r="73" spans="1:13" x14ac:dyDescent="0.35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  <c r="G73" t="str">
        <f t="shared" si="7"/>
        <v>High screen time</v>
      </c>
      <c r="H73" t="str">
        <f t="shared" si="8"/>
        <v>High</v>
      </c>
      <c r="I73" s="1">
        <f t="shared" si="9"/>
        <v>33</v>
      </c>
      <c r="J73">
        <f t="shared" si="10"/>
        <v>4.7</v>
      </c>
      <c r="K73" t="str">
        <f t="shared" si="11"/>
        <v>Older Student</v>
      </c>
      <c r="L73" t="str">
        <f t="shared" si="12"/>
        <v>No</v>
      </c>
      <c r="M73" t="str">
        <f t="shared" si="13"/>
        <v>4-6 hrs</v>
      </c>
    </row>
    <row r="74" spans="1:13" x14ac:dyDescent="0.35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  <c r="G74" t="str">
        <f t="shared" si="7"/>
        <v>Low screen time</v>
      </c>
      <c r="H74" t="str">
        <f t="shared" si="8"/>
        <v>High</v>
      </c>
      <c r="I74" s="1">
        <f t="shared" si="9"/>
        <v>34.652173913043484</v>
      </c>
      <c r="J74">
        <f t="shared" si="10"/>
        <v>4.5</v>
      </c>
      <c r="K74" t="str">
        <f t="shared" si="11"/>
        <v>Older Student</v>
      </c>
      <c r="L74" t="str">
        <f t="shared" si="12"/>
        <v>No</v>
      </c>
      <c r="M74" t="str">
        <f t="shared" si="13"/>
        <v>2-4 hrs</v>
      </c>
    </row>
    <row r="75" spans="1:13" x14ac:dyDescent="0.35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  <c r="G75" t="str">
        <f t="shared" si="7"/>
        <v>High screen time</v>
      </c>
      <c r="H75" t="str">
        <f t="shared" si="8"/>
        <v>High</v>
      </c>
      <c r="I75" s="1">
        <f t="shared" si="9"/>
        <v>38.6</v>
      </c>
      <c r="J75">
        <f t="shared" si="10"/>
        <v>4.5999999999999996</v>
      </c>
      <c r="K75" t="str">
        <f t="shared" si="11"/>
        <v>Teen</v>
      </c>
      <c r="L75" t="str">
        <f t="shared" si="12"/>
        <v>No</v>
      </c>
      <c r="M75" t="str">
        <f t="shared" si="13"/>
        <v>4-6 hrs</v>
      </c>
    </row>
    <row r="76" spans="1:13" x14ac:dyDescent="0.35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  <c r="G76" t="str">
        <f t="shared" si="7"/>
        <v>High screen time</v>
      </c>
      <c r="H76" t="str">
        <f t="shared" si="8"/>
        <v>Average</v>
      </c>
      <c r="I76" s="1">
        <f t="shared" si="9"/>
        <v>35</v>
      </c>
      <c r="J76">
        <f t="shared" si="10"/>
        <v>4.5</v>
      </c>
      <c r="K76" t="str">
        <f t="shared" si="11"/>
        <v>Older Student</v>
      </c>
      <c r="L76" t="str">
        <f t="shared" si="12"/>
        <v>No</v>
      </c>
      <c r="M76" t="str">
        <f t="shared" si="13"/>
        <v>4-6 hrs</v>
      </c>
    </row>
    <row r="77" spans="1:13" x14ac:dyDescent="0.35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  <c r="G77" t="str">
        <f t="shared" si="7"/>
        <v>High screen time</v>
      </c>
      <c r="H77" t="str">
        <f t="shared" si="8"/>
        <v>Average</v>
      </c>
      <c r="I77" s="1">
        <f t="shared" si="9"/>
        <v>38.647058823529413</v>
      </c>
      <c r="J77">
        <f t="shared" si="10"/>
        <v>4</v>
      </c>
      <c r="K77" t="str">
        <f t="shared" si="11"/>
        <v>Teen</v>
      </c>
      <c r="L77" t="str">
        <f t="shared" si="12"/>
        <v>No</v>
      </c>
      <c r="M77" t="str">
        <f t="shared" si="13"/>
        <v>4-6 hrs</v>
      </c>
    </row>
    <row r="78" spans="1:13" x14ac:dyDescent="0.35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  <c r="G78" t="str">
        <f t="shared" si="7"/>
        <v>Low screen time</v>
      </c>
      <c r="H78" t="str">
        <f t="shared" si="8"/>
        <v>Average</v>
      </c>
      <c r="I78" s="1">
        <f t="shared" si="9"/>
        <v>347.5</v>
      </c>
      <c r="J78">
        <f t="shared" si="10"/>
        <v>1.8</v>
      </c>
      <c r="K78" t="str">
        <f t="shared" si="11"/>
        <v>Teen</v>
      </c>
      <c r="L78" t="str">
        <f t="shared" si="12"/>
        <v>No</v>
      </c>
      <c r="M78" t="str">
        <f t="shared" si="13"/>
        <v>2-4 hrs</v>
      </c>
    </row>
    <row r="79" spans="1:13" x14ac:dyDescent="0.35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  <c r="G79" t="str">
        <f t="shared" si="7"/>
        <v>High screen time</v>
      </c>
      <c r="H79" t="str">
        <f t="shared" si="8"/>
        <v>High</v>
      </c>
      <c r="I79" s="1">
        <f t="shared" si="9"/>
        <v>40.18181818181818</v>
      </c>
      <c r="J79">
        <f t="shared" si="10"/>
        <v>3.4000000000000004</v>
      </c>
      <c r="K79" t="str">
        <f t="shared" si="11"/>
        <v>Older Student</v>
      </c>
      <c r="L79" t="str">
        <f t="shared" si="12"/>
        <v>No</v>
      </c>
      <c r="M79" t="str">
        <f t="shared" si="13"/>
        <v>4-6 hrs</v>
      </c>
    </row>
    <row r="80" spans="1:13" x14ac:dyDescent="0.35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  <c r="G80" t="str">
        <f t="shared" si="7"/>
        <v>High screen time</v>
      </c>
      <c r="H80" t="str">
        <f t="shared" si="8"/>
        <v>Average</v>
      </c>
      <c r="I80" s="1">
        <f t="shared" si="9"/>
        <v>18.305555555555557</v>
      </c>
      <c r="J80">
        <f t="shared" si="10"/>
        <v>5.2</v>
      </c>
      <c r="K80" t="str">
        <f t="shared" si="11"/>
        <v>Older Student</v>
      </c>
      <c r="L80" t="str">
        <f t="shared" si="12"/>
        <v>No</v>
      </c>
      <c r="M80" t="str">
        <f t="shared" si="13"/>
        <v>6+ hrs</v>
      </c>
    </row>
    <row r="81" spans="1:13" x14ac:dyDescent="0.35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  <c r="G81" t="str">
        <f t="shared" si="7"/>
        <v>Low screen time</v>
      </c>
      <c r="H81" t="str">
        <f t="shared" si="8"/>
        <v>Average</v>
      </c>
      <c r="I81" s="1">
        <f t="shared" si="9"/>
        <v>32.999999999999993</v>
      </c>
      <c r="J81">
        <f t="shared" si="10"/>
        <v>3.3000000000000003</v>
      </c>
      <c r="K81" t="str">
        <f t="shared" si="11"/>
        <v>Older Student</v>
      </c>
      <c r="L81" t="str">
        <f t="shared" si="12"/>
        <v>No</v>
      </c>
      <c r="M81" t="str">
        <f t="shared" si="13"/>
        <v>2-4 hrs</v>
      </c>
    </row>
    <row r="82" spans="1:13" x14ac:dyDescent="0.35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  <c r="G82" t="str">
        <f t="shared" si="7"/>
        <v>High screen time</v>
      </c>
      <c r="H82" t="str">
        <f t="shared" si="8"/>
        <v>Low</v>
      </c>
      <c r="I82" s="1">
        <f t="shared" si="9"/>
        <v>15.35483870967742</v>
      </c>
      <c r="J82">
        <f t="shared" si="10"/>
        <v>3.1</v>
      </c>
      <c r="K82" t="str">
        <f t="shared" si="11"/>
        <v>Older Student</v>
      </c>
      <c r="L82" t="str">
        <f t="shared" si="12"/>
        <v>Yes</v>
      </c>
      <c r="M82" t="str">
        <f t="shared" si="13"/>
        <v>4-6 hrs</v>
      </c>
    </row>
    <row r="83" spans="1:13" x14ac:dyDescent="0.35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  <c r="G83" t="str">
        <f t="shared" si="7"/>
        <v>Low screen time</v>
      </c>
      <c r="H83" t="str">
        <f t="shared" si="8"/>
        <v>High</v>
      </c>
      <c r="I83" s="1">
        <f t="shared" si="9"/>
        <v>54.857142857142861</v>
      </c>
      <c r="J83">
        <f t="shared" si="10"/>
        <v>2.7</v>
      </c>
      <c r="K83" t="str">
        <f t="shared" si="11"/>
        <v>Teen</v>
      </c>
      <c r="L83" t="str">
        <f t="shared" si="12"/>
        <v>No</v>
      </c>
      <c r="M83" t="str">
        <f t="shared" si="13"/>
        <v>2-4 hrs</v>
      </c>
    </row>
    <row r="84" spans="1:13" x14ac:dyDescent="0.35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  <c r="G84" t="str">
        <f t="shared" si="7"/>
        <v>High screen time</v>
      </c>
      <c r="H84" t="str">
        <f t="shared" si="8"/>
        <v>High</v>
      </c>
      <c r="I84" s="1">
        <f t="shared" si="9"/>
        <v>77.166666666666671</v>
      </c>
      <c r="J84">
        <f t="shared" si="10"/>
        <v>3</v>
      </c>
      <c r="K84" t="str">
        <f t="shared" si="11"/>
        <v>Older Student</v>
      </c>
      <c r="L84" t="str">
        <f t="shared" si="12"/>
        <v>No</v>
      </c>
      <c r="M84" t="str">
        <f t="shared" si="13"/>
        <v>6+ hrs</v>
      </c>
    </row>
    <row r="85" spans="1:13" x14ac:dyDescent="0.35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  <c r="G85" t="str">
        <f t="shared" si="7"/>
        <v>Low screen time</v>
      </c>
      <c r="H85" t="str">
        <f t="shared" si="8"/>
        <v>Average</v>
      </c>
      <c r="I85" s="1">
        <f t="shared" si="9"/>
        <v>35.705882352941181</v>
      </c>
      <c r="J85">
        <f t="shared" si="10"/>
        <v>2.7</v>
      </c>
      <c r="K85" t="str">
        <f t="shared" si="11"/>
        <v>Older Student</v>
      </c>
      <c r="L85" t="str">
        <f t="shared" si="12"/>
        <v>No</v>
      </c>
      <c r="M85" t="str">
        <f t="shared" si="13"/>
        <v>2-4 hrs</v>
      </c>
    </row>
    <row r="86" spans="1:13" x14ac:dyDescent="0.35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  <c r="G86" t="str">
        <f t="shared" si="7"/>
        <v>High screen time</v>
      </c>
      <c r="H86" t="str">
        <f t="shared" si="8"/>
        <v>High</v>
      </c>
      <c r="I86" s="1">
        <f t="shared" si="9"/>
        <v>66.666666666666671</v>
      </c>
      <c r="J86">
        <f t="shared" si="10"/>
        <v>2.8</v>
      </c>
      <c r="K86" t="str">
        <f t="shared" si="11"/>
        <v>Teen</v>
      </c>
      <c r="L86" t="str">
        <f t="shared" si="12"/>
        <v>No</v>
      </c>
      <c r="M86" t="str">
        <f t="shared" si="13"/>
        <v>4-6 hrs</v>
      </c>
    </row>
    <row r="87" spans="1:13" x14ac:dyDescent="0.35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  <c r="G87" t="str">
        <f t="shared" si="7"/>
        <v>Low screen time</v>
      </c>
      <c r="H87" t="str">
        <f t="shared" si="8"/>
        <v>Average</v>
      </c>
      <c r="I87" s="1">
        <f t="shared" si="9"/>
        <v>55.230769230769226</v>
      </c>
      <c r="J87">
        <f t="shared" si="10"/>
        <v>2.7</v>
      </c>
      <c r="K87" t="str">
        <f t="shared" si="11"/>
        <v>Teen</v>
      </c>
      <c r="L87" t="str">
        <f t="shared" si="12"/>
        <v>No</v>
      </c>
      <c r="M87" t="str">
        <f t="shared" si="13"/>
        <v>2-4 hrs</v>
      </c>
    </row>
    <row r="88" spans="1:13" x14ac:dyDescent="0.35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  <c r="G88" t="str">
        <f t="shared" si="7"/>
        <v>Low screen time</v>
      </c>
      <c r="H88" t="str">
        <f t="shared" si="8"/>
        <v>Low</v>
      </c>
      <c r="I88" s="1">
        <f t="shared" si="9"/>
        <v>15.275862068965516</v>
      </c>
      <c r="J88">
        <f t="shared" si="10"/>
        <v>5.5</v>
      </c>
      <c r="K88" t="str">
        <f t="shared" si="11"/>
        <v>Teen</v>
      </c>
      <c r="L88" t="str">
        <f t="shared" si="12"/>
        <v>No</v>
      </c>
      <c r="M88" t="str">
        <f t="shared" si="13"/>
        <v>2-4 hrs</v>
      </c>
    </row>
    <row r="89" spans="1:13" x14ac:dyDescent="0.35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  <c r="G89" t="str">
        <f t="shared" si="7"/>
        <v>High screen time</v>
      </c>
      <c r="H89" t="str">
        <f t="shared" si="8"/>
        <v>Average</v>
      </c>
      <c r="I89" s="1">
        <f t="shared" si="9"/>
        <v>15.372093023255813</v>
      </c>
      <c r="J89">
        <f t="shared" si="10"/>
        <v>5.5</v>
      </c>
      <c r="K89" t="str">
        <f t="shared" si="11"/>
        <v>Teen</v>
      </c>
      <c r="L89" t="str">
        <f t="shared" si="12"/>
        <v>No</v>
      </c>
      <c r="M89" t="str">
        <f t="shared" si="13"/>
        <v>4-6 hrs</v>
      </c>
    </row>
    <row r="90" spans="1:13" x14ac:dyDescent="0.35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  <c r="G90" t="str">
        <f t="shared" si="7"/>
        <v>High screen time</v>
      </c>
      <c r="H90" t="str">
        <f t="shared" si="8"/>
        <v>High</v>
      </c>
      <c r="I90" s="1">
        <f t="shared" si="9"/>
        <v>46.277777777777779</v>
      </c>
      <c r="J90">
        <f t="shared" si="10"/>
        <v>4.4000000000000004</v>
      </c>
      <c r="K90" t="str">
        <f t="shared" si="11"/>
        <v>Older Student</v>
      </c>
      <c r="L90" t="str">
        <f t="shared" si="12"/>
        <v>No</v>
      </c>
      <c r="M90" t="str">
        <f t="shared" si="13"/>
        <v>4-6 hrs</v>
      </c>
    </row>
    <row r="91" spans="1:13" x14ac:dyDescent="0.35">
      <c r="A91">
        <v>90</v>
      </c>
      <c r="B91">
        <v>15</v>
      </c>
      <c r="C91" s="3">
        <f ca="1">AVERAGE(C87:C291)</f>
        <v>2.5577889447236175</v>
      </c>
      <c r="D91">
        <v>6.9</v>
      </c>
      <c r="E91">
        <v>90</v>
      </c>
      <c r="F91">
        <v>0</v>
      </c>
      <c r="G91" t="str">
        <f t="shared" si="7"/>
        <v>High screen time</v>
      </c>
      <c r="H91" t="str">
        <f t="shared" si="8"/>
        <v>High</v>
      </c>
      <c r="I91" s="1">
        <f t="shared" ca="1" si="9"/>
        <v>30</v>
      </c>
      <c r="J91">
        <f t="shared" ca="1" si="10"/>
        <v>4.0999999999999996</v>
      </c>
      <c r="K91" t="str">
        <f t="shared" si="11"/>
        <v>Teen</v>
      </c>
      <c r="L91" t="str">
        <f t="shared" si="12"/>
        <v>No</v>
      </c>
      <c r="M91" t="str">
        <f t="shared" si="13"/>
        <v>6+ hrs</v>
      </c>
    </row>
    <row r="92" spans="1:13" x14ac:dyDescent="0.35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  <c r="G92" t="str">
        <f t="shared" si="7"/>
        <v>High screen time</v>
      </c>
      <c r="H92" t="str">
        <f t="shared" si="8"/>
        <v>High</v>
      </c>
      <c r="I92" s="1">
        <f t="shared" si="9"/>
        <v>24.125</v>
      </c>
      <c r="J92">
        <f t="shared" si="10"/>
        <v>5.8000000000000007</v>
      </c>
      <c r="K92" t="str">
        <f t="shared" si="11"/>
        <v>Teen</v>
      </c>
      <c r="L92" t="str">
        <f t="shared" si="12"/>
        <v>No</v>
      </c>
      <c r="M92" t="str">
        <f t="shared" si="13"/>
        <v>4-6 hrs</v>
      </c>
    </row>
    <row r="93" spans="1:13" x14ac:dyDescent="0.35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  <c r="G93" t="str">
        <f t="shared" si="7"/>
        <v>High screen time</v>
      </c>
      <c r="H93" t="str">
        <f t="shared" si="8"/>
        <v>High</v>
      </c>
      <c r="I93" s="1">
        <f t="shared" si="9"/>
        <v>77.909090909090907</v>
      </c>
      <c r="J93">
        <f t="shared" si="10"/>
        <v>3.6</v>
      </c>
      <c r="K93" t="str">
        <f t="shared" si="11"/>
        <v>Teen</v>
      </c>
      <c r="L93" t="str">
        <f t="shared" si="12"/>
        <v>No</v>
      </c>
      <c r="M93" t="str">
        <f t="shared" si="13"/>
        <v>4-6 hrs</v>
      </c>
    </row>
    <row r="94" spans="1:13" x14ac:dyDescent="0.35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  <c r="G94" t="str">
        <f t="shared" si="7"/>
        <v>High screen time</v>
      </c>
      <c r="H94" t="str">
        <f t="shared" si="8"/>
        <v>Average</v>
      </c>
      <c r="I94" s="1">
        <f t="shared" si="9"/>
        <v>44.769230769230766</v>
      </c>
      <c r="J94">
        <f t="shared" si="10"/>
        <v>3.5</v>
      </c>
      <c r="K94" t="str">
        <f t="shared" si="11"/>
        <v>Teen</v>
      </c>
      <c r="L94" t="str">
        <f t="shared" si="12"/>
        <v>No</v>
      </c>
      <c r="M94" t="str">
        <f t="shared" si="13"/>
        <v>6+ hrs</v>
      </c>
    </row>
    <row r="95" spans="1:13" x14ac:dyDescent="0.35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  <c r="G95" t="str">
        <f t="shared" si="7"/>
        <v>High screen time</v>
      </c>
      <c r="H95" t="str">
        <f t="shared" si="8"/>
        <v>Average</v>
      </c>
      <c r="I95" s="1">
        <f t="shared" si="9"/>
        <v>21.066666666666666</v>
      </c>
      <c r="J95">
        <f t="shared" si="10"/>
        <v>3</v>
      </c>
      <c r="K95" t="str">
        <f t="shared" si="11"/>
        <v>Teen</v>
      </c>
      <c r="L95" t="str">
        <f t="shared" si="12"/>
        <v>No</v>
      </c>
      <c r="M95" t="str">
        <f t="shared" si="13"/>
        <v>4-6 hrs</v>
      </c>
    </row>
    <row r="96" spans="1:13" x14ac:dyDescent="0.35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  <c r="G96" t="str">
        <f t="shared" si="7"/>
        <v>Low screen time</v>
      </c>
      <c r="H96" t="str">
        <f t="shared" si="8"/>
        <v>Average</v>
      </c>
      <c r="I96" s="1">
        <f t="shared" si="9"/>
        <v>23.130434782608699</v>
      </c>
      <c r="J96">
        <f t="shared" si="10"/>
        <v>4.5999999999999996</v>
      </c>
      <c r="K96" t="str">
        <f t="shared" si="11"/>
        <v>Teen</v>
      </c>
      <c r="L96" t="str">
        <f t="shared" si="12"/>
        <v>No</v>
      </c>
      <c r="M96" t="str">
        <f t="shared" si="13"/>
        <v>2-4 hrs</v>
      </c>
    </row>
    <row r="97" spans="1:13" x14ac:dyDescent="0.35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  <c r="G97" t="str">
        <f t="shared" si="7"/>
        <v>High screen time</v>
      </c>
      <c r="H97" t="str">
        <f t="shared" si="8"/>
        <v>Average</v>
      </c>
      <c r="I97" s="1">
        <f t="shared" si="9"/>
        <v>35.5</v>
      </c>
      <c r="J97">
        <f t="shared" si="10"/>
        <v>3.3</v>
      </c>
      <c r="K97" t="str">
        <f t="shared" si="11"/>
        <v>Teen</v>
      </c>
      <c r="L97" t="str">
        <f t="shared" si="12"/>
        <v>No</v>
      </c>
      <c r="M97" t="str">
        <f t="shared" si="13"/>
        <v>4-6 hrs</v>
      </c>
    </row>
    <row r="98" spans="1:13" x14ac:dyDescent="0.35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  <c r="G98" t="str">
        <f t="shared" si="7"/>
        <v>Low screen time</v>
      </c>
      <c r="H98" t="str">
        <f t="shared" si="8"/>
        <v>High</v>
      </c>
      <c r="I98" s="1">
        <f t="shared" si="9"/>
        <v>29.846153846153843</v>
      </c>
      <c r="J98">
        <f t="shared" si="10"/>
        <v>2.6</v>
      </c>
      <c r="K98" t="str">
        <f t="shared" si="11"/>
        <v>Older Student</v>
      </c>
      <c r="L98" t="str">
        <f t="shared" si="12"/>
        <v>No</v>
      </c>
      <c r="M98" t="str">
        <f t="shared" si="13"/>
        <v>2-4 hrs</v>
      </c>
    </row>
    <row r="99" spans="1:13" x14ac:dyDescent="0.35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  <c r="G99" t="str">
        <f t="shared" si="7"/>
        <v>Low screen time</v>
      </c>
      <c r="H99" t="str">
        <f t="shared" si="8"/>
        <v>Average</v>
      </c>
      <c r="I99" s="1">
        <f t="shared" si="9"/>
        <v>34.333333333333329</v>
      </c>
      <c r="J99">
        <f t="shared" si="10"/>
        <v>4.5999999999999996</v>
      </c>
      <c r="K99" t="str">
        <f t="shared" si="11"/>
        <v>Teen</v>
      </c>
      <c r="L99" t="str">
        <f t="shared" si="12"/>
        <v>No</v>
      </c>
      <c r="M99" t="str">
        <f t="shared" si="13"/>
        <v>2-4 hrs</v>
      </c>
    </row>
    <row r="100" spans="1:13" x14ac:dyDescent="0.35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  <c r="G100" t="str">
        <f t="shared" si="7"/>
        <v>Low screen time</v>
      </c>
      <c r="H100" t="str">
        <f t="shared" si="8"/>
        <v>High</v>
      </c>
      <c r="I100" s="1">
        <f t="shared" si="9"/>
        <v>17.886363636363637</v>
      </c>
      <c r="J100">
        <f t="shared" si="10"/>
        <v>7.1000000000000005</v>
      </c>
      <c r="K100" t="str">
        <f t="shared" si="11"/>
        <v>Teen</v>
      </c>
      <c r="L100" t="str">
        <f t="shared" si="12"/>
        <v>No</v>
      </c>
      <c r="M100" t="str">
        <f t="shared" si="13"/>
        <v>2-4 hrs</v>
      </c>
    </row>
    <row r="101" spans="1:13" x14ac:dyDescent="0.35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  <c r="G101" t="str">
        <f t="shared" si="7"/>
        <v>Low screen time</v>
      </c>
      <c r="H101" t="str">
        <f t="shared" si="8"/>
        <v>Average</v>
      </c>
      <c r="I101" s="1">
        <f t="shared" si="9"/>
        <v>33.666666666666664</v>
      </c>
      <c r="J101">
        <f t="shared" si="10"/>
        <v>1.8</v>
      </c>
      <c r="K101" t="str">
        <f t="shared" si="11"/>
        <v>Teen</v>
      </c>
      <c r="L101" t="str">
        <f t="shared" si="12"/>
        <v>No</v>
      </c>
      <c r="M101" t="str">
        <f t="shared" si="13"/>
        <v>2-4 hrs</v>
      </c>
    </row>
    <row r="102" spans="1:13" x14ac:dyDescent="0.35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  <c r="G102" t="str">
        <f t="shared" si="7"/>
        <v>High screen time</v>
      </c>
      <c r="H102" t="str">
        <f t="shared" si="8"/>
        <v>Average</v>
      </c>
      <c r="I102" s="1">
        <f t="shared" si="9"/>
        <v>38.25</v>
      </c>
      <c r="J102">
        <f t="shared" si="10"/>
        <v>3.2</v>
      </c>
      <c r="K102" t="str">
        <f t="shared" si="11"/>
        <v>Older Student</v>
      </c>
      <c r="L102" t="str">
        <f t="shared" si="12"/>
        <v>No</v>
      </c>
      <c r="M102" t="str">
        <f t="shared" si="13"/>
        <v>4-6 hrs</v>
      </c>
    </row>
    <row r="103" spans="1:13" x14ac:dyDescent="0.35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  <c r="G103" t="str">
        <f t="shared" si="7"/>
        <v>Low screen time</v>
      </c>
      <c r="H103" t="str">
        <f t="shared" si="8"/>
        <v>Average</v>
      </c>
      <c r="I103" s="1">
        <f t="shared" si="9"/>
        <v>36</v>
      </c>
      <c r="J103">
        <f t="shared" si="10"/>
        <v>4.5999999999999996</v>
      </c>
      <c r="K103" t="str">
        <f t="shared" si="11"/>
        <v>Teen</v>
      </c>
      <c r="L103" t="str">
        <f t="shared" si="12"/>
        <v>No</v>
      </c>
      <c r="M103" t="str">
        <f t="shared" si="13"/>
        <v>2-4 hrs</v>
      </c>
    </row>
    <row r="104" spans="1:13" x14ac:dyDescent="0.35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  <c r="G104" t="str">
        <f t="shared" si="7"/>
        <v>Low screen time</v>
      </c>
      <c r="H104" t="str">
        <f t="shared" si="8"/>
        <v>Average</v>
      </c>
      <c r="I104" s="1">
        <f t="shared" si="9"/>
        <v>30.476190476190474</v>
      </c>
      <c r="J104">
        <f t="shared" si="10"/>
        <v>4.5999999999999996</v>
      </c>
      <c r="K104" t="str">
        <f t="shared" si="11"/>
        <v>Older Student</v>
      </c>
      <c r="L104" t="str">
        <f t="shared" si="12"/>
        <v>No</v>
      </c>
      <c r="M104" t="str">
        <f t="shared" si="13"/>
        <v>0-2 hrs</v>
      </c>
    </row>
    <row r="105" spans="1:13" x14ac:dyDescent="0.35">
      <c r="A105">
        <v>104</v>
      </c>
      <c r="B105">
        <v>14</v>
      </c>
      <c r="C105" s="3">
        <f ca="1">AVERAGE(C101:C305)</f>
        <v>2.5577889447236175</v>
      </c>
      <c r="D105">
        <v>3.6</v>
      </c>
      <c r="E105">
        <v>83</v>
      </c>
      <c r="F105">
        <v>2.2000000000000002</v>
      </c>
      <c r="G105" t="str">
        <f t="shared" si="7"/>
        <v>Low screen time</v>
      </c>
      <c r="H105" t="str">
        <f t="shared" si="8"/>
        <v>High</v>
      </c>
      <c r="I105" s="1">
        <f t="shared" ca="1" si="9"/>
        <v>30</v>
      </c>
      <c r="J105">
        <f t="shared" ca="1" si="10"/>
        <v>4.0999999999999996</v>
      </c>
      <c r="K105" t="str">
        <f t="shared" si="11"/>
        <v>Teen</v>
      </c>
      <c r="L105" t="str">
        <f t="shared" si="12"/>
        <v>No</v>
      </c>
      <c r="M105" t="str">
        <f t="shared" si="13"/>
        <v>2-4 hrs</v>
      </c>
    </row>
    <row r="106" spans="1:13" x14ac:dyDescent="0.35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  <c r="G106" t="str">
        <f t="shared" si="7"/>
        <v>Low screen time</v>
      </c>
      <c r="H106" t="str">
        <f t="shared" si="8"/>
        <v>Average</v>
      </c>
      <c r="I106" s="1">
        <f t="shared" si="9"/>
        <v>127.4</v>
      </c>
      <c r="J106">
        <f t="shared" si="10"/>
        <v>0.5</v>
      </c>
      <c r="K106" t="str">
        <f t="shared" si="11"/>
        <v>Teen</v>
      </c>
      <c r="L106" t="str">
        <f t="shared" si="12"/>
        <v>No</v>
      </c>
      <c r="M106" t="str">
        <f t="shared" si="13"/>
        <v>2-4 hrs</v>
      </c>
    </row>
    <row r="107" spans="1:13" x14ac:dyDescent="0.35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  <c r="G107" t="str">
        <f t="shared" si="7"/>
        <v>High screen time</v>
      </c>
      <c r="H107" t="str">
        <f t="shared" si="8"/>
        <v>Average</v>
      </c>
      <c r="I107" s="1">
        <f t="shared" si="9"/>
        <v>22.413793103448278</v>
      </c>
      <c r="J107">
        <f t="shared" si="10"/>
        <v>5</v>
      </c>
      <c r="K107" t="str">
        <f t="shared" si="11"/>
        <v>Older Student</v>
      </c>
      <c r="L107" t="str">
        <f t="shared" si="12"/>
        <v>No</v>
      </c>
      <c r="M107" t="str">
        <f t="shared" si="13"/>
        <v>4-6 hrs</v>
      </c>
    </row>
    <row r="108" spans="1:13" x14ac:dyDescent="0.35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  <c r="G108" t="str">
        <f t="shared" si="7"/>
        <v>Low screen time</v>
      </c>
      <c r="H108" t="str">
        <f t="shared" si="8"/>
        <v>Average</v>
      </c>
      <c r="I108" s="1">
        <f t="shared" si="9"/>
        <v>37.1</v>
      </c>
      <c r="J108">
        <f t="shared" si="10"/>
        <v>3.3</v>
      </c>
      <c r="K108" t="str">
        <f t="shared" si="11"/>
        <v>Teen</v>
      </c>
      <c r="L108" t="str">
        <f t="shared" si="12"/>
        <v>No</v>
      </c>
      <c r="M108" t="str">
        <f t="shared" si="13"/>
        <v>2-4 hrs</v>
      </c>
    </row>
    <row r="109" spans="1:13" x14ac:dyDescent="0.35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  <c r="G109" t="str">
        <f t="shared" si="7"/>
        <v>High screen time</v>
      </c>
      <c r="H109" t="str">
        <f t="shared" si="8"/>
        <v>Average</v>
      </c>
      <c r="I109" s="1">
        <f t="shared" si="9"/>
        <v>20.030303030303031</v>
      </c>
      <c r="J109">
        <f t="shared" si="10"/>
        <v>5.6</v>
      </c>
      <c r="K109" t="str">
        <f t="shared" si="11"/>
        <v>Older Student</v>
      </c>
      <c r="L109" t="str">
        <f t="shared" si="12"/>
        <v>No</v>
      </c>
      <c r="M109" t="str">
        <f t="shared" si="13"/>
        <v>6+ hrs</v>
      </c>
    </row>
    <row r="110" spans="1:13" x14ac:dyDescent="0.35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  <c r="G110" t="str">
        <f t="shared" si="7"/>
        <v>High screen time</v>
      </c>
      <c r="H110" t="str">
        <f t="shared" si="8"/>
        <v>Average</v>
      </c>
      <c r="I110" s="1">
        <f t="shared" si="9"/>
        <v>23.080000000000002</v>
      </c>
      <c r="J110">
        <f t="shared" si="10"/>
        <v>4.2</v>
      </c>
      <c r="K110" t="str">
        <f t="shared" si="11"/>
        <v>Teen</v>
      </c>
      <c r="L110" t="str">
        <f t="shared" si="12"/>
        <v>No</v>
      </c>
      <c r="M110" t="str">
        <f t="shared" si="13"/>
        <v>6+ hrs</v>
      </c>
    </row>
    <row r="111" spans="1:13" x14ac:dyDescent="0.35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  <c r="G111" t="str">
        <f t="shared" si="7"/>
        <v>Low screen time</v>
      </c>
      <c r="H111" t="str">
        <f t="shared" si="8"/>
        <v>Average</v>
      </c>
      <c r="I111" s="1">
        <f t="shared" si="9"/>
        <v>19.666666666666668</v>
      </c>
      <c r="J111">
        <f t="shared" si="10"/>
        <v>4.5</v>
      </c>
      <c r="K111" t="str">
        <f t="shared" si="11"/>
        <v>Teen</v>
      </c>
      <c r="L111" t="str">
        <f t="shared" si="12"/>
        <v>No</v>
      </c>
      <c r="M111" t="str">
        <f t="shared" si="13"/>
        <v>2-4 hrs</v>
      </c>
    </row>
    <row r="112" spans="1:13" x14ac:dyDescent="0.35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  <c r="G112" t="str">
        <f t="shared" si="7"/>
        <v>High screen time</v>
      </c>
      <c r="H112" t="str">
        <f t="shared" si="8"/>
        <v>High</v>
      </c>
      <c r="I112" s="1">
        <f t="shared" si="9"/>
        <v>35.904761904761905</v>
      </c>
      <c r="J112">
        <f t="shared" si="10"/>
        <v>4.0999999999999996</v>
      </c>
      <c r="K112" t="str">
        <f t="shared" si="11"/>
        <v>Teen</v>
      </c>
      <c r="L112" t="str">
        <f t="shared" si="12"/>
        <v>No</v>
      </c>
      <c r="M112" t="str">
        <f t="shared" si="13"/>
        <v>4-6 hrs</v>
      </c>
    </row>
    <row r="113" spans="1:13" x14ac:dyDescent="0.35">
      <c r="A113">
        <v>112</v>
      </c>
      <c r="B113">
        <v>15</v>
      </c>
      <c r="C113">
        <v>2.9</v>
      </c>
      <c r="D113" s="3">
        <f ca="1">AVERAGE(D101:D305)</f>
        <v>4.013065326633166</v>
      </c>
      <c r="E113">
        <v>56.4</v>
      </c>
      <c r="F113">
        <v>1.4</v>
      </c>
      <c r="G113" t="str">
        <f t="shared" ca="1" si="7"/>
        <v>Low screen time</v>
      </c>
      <c r="H113" t="str">
        <f t="shared" si="8"/>
        <v>Average</v>
      </c>
      <c r="I113" s="1">
        <f t="shared" si="9"/>
        <v>19.448275862068964</v>
      </c>
      <c r="J113">
        <f t="shared" si="10"/>
        <v>4.3</v>
      </c>
      <c r="K113" t="str">
        <f t="shared" si="11"/>
        <v>Teen</v>
      </c>
      <c r="L113" t="str">
        <f t="shared" ca="1" si="12"/>
        <v>No</v>
      </c>
      <c r="M113" t="str">
        <f t="shared" ca="1" si="13"/>
        <v>2-4 hrs</v>
      </c>
    </row>
    <row r="114" spans="1:13" x14ac:dyDescent="0.35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  <c r="G114" t="str">
        <f t="shared" si="7"/>
        <v>High screen time</v>
      </c>
      <c r="H114" t="str">
        <f t="shared" si="8"/>
        <v>High</v>
      </c>
      <c r="I114" s="1">
        <f t="shared" si="9"/>
        <v>20</v>
      </c>
      <c r="J114">
        <f t="shared" si="10"/>
        <v>5.7</v>
      </c>
      <c r="K114" t="str">
        <f t="shared" si="11"/>
        <v>Older Student</v>
      </c>
      <c r="L114" t="str">
        <f t="shared" si="12"/>
        <v>No</v>
      </c>
      <c r="M114" t="str">
        <f t="shared" si="13"/>
        <v>4-6 hrs</v>
      </c>
    </row>
    <row r="115" spans="1:13" x14ac:dyDescent="0.35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  <c r="G115" t="str">
        <f t="shared" si="7"/>
        <v>High screen time</v>
      </c>
      <c r="H115" t="str">
        <f t="shared" si="8"/>
        <v>Average</v>
      </c>
      <c r="I115" s="1">
        <f t="shared" si="9"/>
        <v>35.055555555555557</v>
      </c>
      <c r="J115">
        <f t="shared" si="10"/>
        <v>2.9000000000000004</v>
      </c>
      <c r="K115" t="str">
        <f t="shared" si="11"/>
        <v>Teen</v>
      </c>
      <c r="L115" t="str">
        <f t="shared" si="12"/>
        <v>No</v>
      </c>
      <c r="M115" t="str">
        <f t="shared" si="13"/>
        <v>4-6 hrs</v>
      </c>
    </row>
    <row r="116" spans="1:13" x14ac:dyDescent="0.35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  <c r="G116" t="str">
        <f t="shared" si="7"/>
        <v>High screen time</v>
      </c>
      <c r="H116" t="str">
        <f t="shared" si="8"/>
        <v>High</v>
      </c>
      <c r="I116" s="1">
        <f t="shared" si="9"/>
        <v>31.750000000000004</v>
      </c>
      <c r="J116">
        <f t="shared" si="10"/>
        <v>2.6</v>
      </c>
      <c r="K116" t="str">
        <f t="shared" si="11"/>
        <v>Teen</v>
      </c>
      <c r="L116" t="str">
        <f t="shared" si="12"/>
        <v>No</v>
      </c>
      <c r="M116" t="str">
        <f t="shared" si="13"/>
        <v>4-6 hrs</v>
      </c>
    </row>
    <row r="117" spans="1:13" x14ac:dyDescent="0.35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  <c r="G117" t="str">
        <f t="shared" si="7"/>
        <v>High screen time</v>
      </c>
      <c r="H117" t="str">
        <f t="shared" si="8"/>
        <v>Average</v>
      </c>
      <c r="I117" s="1">
        <f t="shared" si="9"/>
        <v>31.85</v>
      </c>
      <c r="J117">
        <f t="shared" si="10"/>
        <v>4</v>
      </c>
      <c r="K117" t="str">
        <f t="shared" si="11"/>
        <v>Older Student</v>
      </c>
      <c r="L117" t="str">
        <f t="shared" si="12"/>
        <v>No</v>
      </c>
      <c r="M117" t="str">
        <f t="shared" si="13"/>
        <v>4-6 hrs</v>
      </c>
    </row>
    <row r="118" spans="1:13" x14ac:dyDescent="0.35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  <c r="G118" t="str">
        <f t="shared" si="7"/>
        <v>High screen time</v>
      </c>
      <c r="H118" t="str">
        <f t="shared" si="8"/>
        <v>Average</v>
      </c>
      <c r="I118" s="1">
        <f t="shared" si="9"/>
        <v>14.829268292682928</v>
      </c>
      <c r="J118">
        <f t="shared" si="10"/>
        <v>5</v>
      </c>
      <c r="K118" t="str">
        <f t="shared" si="11"/>
        <v>Teen</v>
      </c>
      <c r="L118" t="str">
        <f t="shared" si="12"/>
        <v>No</v>
      </c>
      <c r="M118" t="str">
        <f t="shared" si="13"/>
        <v>4-6 hrs</v>
      </c>
    </row>
    <row r="119" spans="1:13" x14ac:dyDescent="0.35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  <c r="G119" t="str">
        <f t="shared" si="7"/>
        <v>High screen time</v>
      </c>
      <c r="H119" t="str">
        <f t="shared" si="8"/>
        <v>Average</v>
      </c>
      <c r="I119" s="1">
        <f t="shared" si="9"/>
        <v>34.523809523809526</v>
      </c>
      <c r="J119">
        <f t="shared" si="10"/>
        <v>3.4000000000000004</v>
      </c>
      <c r="K119" t="str">
        <f t="shared" si="11"/>
        <v>Teen</v>
      </c>
      <c r="L119" t="str">
        <f t="shared" si="12"/>
        <v>No</v>
      </c>
      <c r="M119" t="str">
        <f t="shared" si="13"/>
        <v>6+ hrs</v>
      </c>
    </row>
    <row r="120" spans="1:13" x14ac:dyDescent="0.35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  <c r="G120" t="str">
        <f t="shared" si="7"/>
        <v>High screen time</v>
      </c>
      <c r="H120" t="str">
        <f t="shared" si="8"/>
        <v>High</v>
      </c>
      <c r="I120" s="1">
        <f t="shared" si="9"/>
        <v>44.722222222222221</v>
      </c>
      <c r="J120">
        <f t="shared" si="10"/>
        <v>3.5</v>
      </c>
      <c r="K120" t="str">
        <f t="shared" si="11"/>
        <v>Teen</v>
      </c>
      <c r="L120" t="str">
        <f t="shared" si="12"/>
        <v>No</v>
      </c>
      <c r="M120" t="str">
        <f t="shared" si="13"/>
        <v>4-6 hrs</v>
      </c>
    </row>
    <row r="121" spans="1:13" x14ac:dyDescent="0.35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  <c r="G121" t="str">
        <f t="shared" si="7"/>
        <v>Low screen time</v>
      </c>
      <c r="H121" t="str">
        <f t="shared" si="8"/>
        <v>Average</v>
      </c>
      <c r="I121" s="1">
        <f t="shared" si="9"/>
        <v>35.526315789473685</v>
      </c>
      <c r="J121">
        <f t="shared" si="10"/>
        <v>1.9</v>
      </c>
      <c r="K121" t="str">
        <f t="shared" si="11"/>
        <v>Teen</v>
      </c>
      <c r="L121" t="str">
        <f t="shared" si="12"/>
        <v>No</v>
      </c>
      <c r="M121" t="str">
        <f t="shared" si="13"/>
        <v>2-4 hrs</v>
      </c>
    </row>
    <row r="122" spans="1:13" x14ac:dyDescent="0.35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  <c r="G122" t="str">
        <f t="shared" si="7"/>
        <v>Low screen time</v>
      </c>
      <c r="H122" t="str">
        <f t="shared" si="8"/>
        <v>Average</v>
      </c>
      <c r="I122" s="1">
        <f t="shared" si="9"/>
        <v>28.875</v>
      </c>
      <c r="J122">
        <f t="shared" si="10"/>
        <v>2.4</v>
      </c>
      <c r="K122" t="str">
        <f t="shared" si="11"/>
        <v>Teen</v>
      </c>
      <c r="L122" t="str">
        <f t="shared" si="12"/>
        <v>No</v>
      </c>
      <c r="M122" t="str">
        <f t="shared" si="13"/>
        <v>0-2 hrs</v>
      </c>
    </row>
    <row r="123" spans="1:13" x14ac:dyDescent="0.35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  <c r="G123" t="str">
        <f t="shared" si="7"/>
        <v>High screen time</v>
      </c>
      <c r="H123" t="str">
        <f t="shared" si="8"/>
        <v>High</v>
      </c>
      <c r="I123" s="1">
        <f t="shared" si="9"/>
        <v>45.941176470588232</v>
      </c>
      <c r="J123">
        <f t="shared" si="10"/>
        <v>3</v>
      </c>
      <c r="K123" t="str">
        <f t="shared" si="11"/>
        <v>Older Student</v>
      </c>
      <c r="L123" t="str">
        <f t="shared" si="12"/>
        <v>No</v>
      </c>
      <c r="M123" t="str">
        <f t="shared" si="13"/>
        <v>6+ hrs</v>
      </c>
    </row>
    <row r="124" spans="1:13" x14ac:dyDescent="0.35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  <c r="G124" t="str">
        <f t="shared" si="7"/>
        <v>Low screen time</v>
      </c>
      <c r="H124" t="str">
        <f t="shared" si="8"/>
        <v>High</v>
      </c>
      <c r="I124" s="1">
        <f t="shared" si="9"/>
        <v>37.333333333333336</v>
      </c>
      <c r="J124">
        <f t="shared" si="10"/>
        <v>4</v>
      </c>
      <c r="K124" t="str">
        <f t="shared" si="11"/>
        <v>Older Student</v>
      </c>
      <c r="L124" t="str">
        <f t="shared" si="12"/>
        <v>No</v>
      </c>
      <c r="M124" t="str">
        <f t="shared" si="13"/>
        <v>2-4 hrs</v>
      </c>
    </row>
    <row r="125" spans="1:13" x14ac:dyDescent="0.35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  <c r="G125" t="str">
        <f t="shared" si="7"/>
        <v>High screen time</v>
      </c>
      <c r="H125" t="str">
        <f t="shared" si="8"/>
        <v>Average</v>
      </c>
      <c r="I125" s="1">
        <f t="shared" si="9"/>
        <v>25.777777777777775</v>
      </c>
      <c r="J125">
        <f t="shared" si="10"/>
        <v>4.8000000000000007</v>
      </c>
      <c r="K125" t="str">
        <f t="shared" si="11"/>
        <v>Teen</v>
      </c>
      <c r="L125" t="str">
        <f t="shared" si="12"/>
        <v>No</v>
      </c>
      <c r="M125" t="str">
        <f t="shared" si="13"/>
        <v>4-6 hrs</v>
      </c>
    </row>
    <row r="126" spans="1:13" x14ac:dyDescent="0.35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  <c r="G126" t="str">
        <f t="shared" si="7"/>
        <v>High screen time</v>
      </c>
      <c r="H126" t="str">
        <f t="shared" si="8"/>
        <v>Average</v>
      </c>
      <c r="I126" s="1">
        <f t="shared" si="9"/>
        <v>27.333333333333332</v>
      </c>
      <c r="J126">
        <f t="shared" si="10"/>
        <v>2.6</v>
      </c>
      <c r="K126" t="str">
        <f t="shared" si="11"/>
        <v>Teen</v>
      </c>
      <c r="L126" t="str">
        <f t="shared" si="12"/>
        <v>No</v>
      </c>
      <c r="M126" t="str">
        <f t="shared" si="13"/>
        <v>6+ hrs</v>
      </c>
    </row>
    <row r="127" spans="1:13" x14ac:dyDescent="0.35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  <c r="G127" t="str">
        <f t="shared" si="7"/>
        <v>High screen time</v>
      </c>
      <c r="H127" t="str">
        <f t="shared" si="8"/>
        <v>Average</v>
      </c>
      <c r="I127" s="1">
        <f t="shared" si="9"/>
        <v>21.454545454545453</v>
      </c>
      <c r="J127">
        <f t="shared" si="10"/>
        <v>5.3</v>
      </c>
      <c r="K127" t="str">
        <f t="shared" si="11"/>
        <v>Older Student</v>
      </c>
      <c r="L127" t="str">
        <f t="shared" si="12"/>
        <v>No</v>
      </c>
      <c r="M127" t="str">
        <f t="shared" si="13"/>
        <v>4-6 hrs</v>
      </c>
    </row>
    <row r="128" spans="1:13" x14ac:dyDescent="0.35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  <c r="G128" t="str">
        <f t="shared" si="7"/>
        <v>Low screen time</v>
      </c>
      <c r="H128" t="str">
        <f t="shared" si="8"/>
        <v>Average</v>
      </c>
      <c r="I128" s="1">
        <f t="shared" si="9"/>
        <v>30.95454545454545</v>
      </c>
      <c r="J128">
        <f t="shared" si="10"/>
        <v>3.5</v>
      </c>
      <c r="K128" t="str">
        <f t="shared" si="11"/>
        <v>Older Student</v>
      </c>
      <c r="L128" t="str">
        <f t="shared" si="12"/>
        <v>No</v>
      </c>
      <c r="M128" t="str">
        <f t="shared" si="13"/>
        <v>2-4 hrs</v>
      </c>
    </row>
    <row r="129" spans="1:13" x14ac:dyDescent="0.35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  <c r="G129" t="str">
        <f t="shared" si="7"/>
        <v>High screen time</v>
      </c>
      <c r="H129" t="str">
        <f t="shared" si="8"/>
        <v>Average</v>
      </c>
      <c r="I129" s="1">
        <f t="shared" si="9"/>
        <v>31.782608695652176</v>
      </c>
      <c r="J129">
        <f t="shared" si="10"/>
        <v>3.0999999999999996</v>
      </c>
      <c r="K129" t="str">
        <f t="shared" si="11"/>
        <v>Older Student</v>
      </c>
      <c r="L129" t="str">
        <f t="shared" si="12"/>
        <v>No</v>
      </c>
      <c r="M129" t="str">
        <f t="shared" si="13"/>
        <v>6+ hrs</v>
      </c>
    </row>
    <row r="130" spans="1:13" x14ac:dyDescent="0.35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  <c r="G130" t="str">
        <f t="shared" si="7"/>
        <v>High screen time</v>
      </c>
      <c r="H130" t="str">
        <f t="shared" si="8"/>
        <v>Average</v>
      </c>
      <c r="I130" s="1">
        <f t="shared" si="9"/>
        <v>20.750000000000004</v>
      </c>
      <c r="J130">
        <f t="shared" si="10"/>
        <v>3.8</v>
      </c>
      <c r="K130" t="str">
        <f t="shared" si="11"/>
        <v>Older Student</v>
      </c>
      <c r="L130" t="str">
        <f t="shared" si="12"/>
        <v>No</v>
      </c>
      <c r="M130" t="str">
        <f t="shared" si="13"/>
        <v>4-6 hrs</v>
      </c>
    </row>
    <row r="131" spans="1:13" x14ac:dyDescent="0.35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  <c r="G131" t="str">
        <f t="shared" ref="G131:G194" si="14">IF(D131&gt;4,"High screen time","Low screen time")</f>
        <v>High screen time</v>
      </c>
      <c r="H131" t="str">
        <f t="shared" ref="H131:H194" si="15">IF(E131&gt;=75,"High",IF(E131&gt;=50,"Average","Low"))</f>
        <v>Average</v>
      </c>
      <c r="I131" s="1">
        <f t="shared" ref="I131:I194" si="16">E131/C131</f>
        <v>15.489361702127658</v>
      </c>
      <c r="J131">
        <f t="shared" ref="J131:J194" si="17">C131+F131</f>
        <v>6.8000000000000007</v>
      </c>
      <c r="K131" t="str">
        <f t="shared" ref="K131:K194" si="18">IF(B131&lt;=15,"Teen","Older Student")</f>
        <v>Older Student</v>
      </c>
      <c r="L131" t="str">
        <f t="shared" ref="L131:L194" si="19">IF(AND(D131&gt;4,E131&lt;50),"Yes","No")</f>
        <v>No</v>
      </c>
      <c r="M131" t="str">
        <f t="shared" ref="M131:M194" si="20">IF(D131&lt;=2,"0-2 hrs",IF(D131&lt;=4,"2-4 hrs",IF(D131&lt;=6,"4-6 hrs","6+ hrs")))</f>
        <v>4-6 hrs</v>
      </c>
    </row>
    <row r="132" spans="1:13" x14ac:dyDescent="0.35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  <c r="G132" t="str">
        <f t="shared" si="14"/>
        <v>Low screen time</v>
      </c>
      <c r="H132" t="str">
        <f t="shared" si="15"/>
        <v>Average</v>
      </c>
      <c r="I132" s="1">
        <f t="shared" si="16"/>
        <v>36.941176470588232</v>
      </c>
      <c r="J132">
        <f t="shared" si="17"/>
        <v>3.4</v>
      </c>
      <c r="K132" t="str">
        <f t="shared" si="18"/>
        <v>Teen</v>
      </c>
      <c r="L132" t="str">
        <f t="shared" si="19"/>
        <v>No</v>
      </c>
      <c r="M132" t="str">
        <f t="shared" si="20"/>
        <v>0-2 hrs</v>
      </c>
    </row>
    <row r="133" spans="1:13" x14ac:dyDescent="0.35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  <c r="G133" t="str">
        <f t="shared" si="14"/>
        <v>High screen time</v>
      </c>
      <c r="H133" t="str">
        <f t="shared" si="15"/>
        <v>High</v>
      </c>
      <c r="I133" s="1">
        <f t="shared" si="16"/>
        <v>17.977272727272723</v>
      </c>
      <c r="J133">
        <f t="shared" si="17"/>
        <v>5.9</v>
      </c>
      <c r="K133" t="str">
        <f t="shared" si="18"/>
        <v>Older Student</v>
      </c>
      <c r="L133" t="str">
        <f t="shared" si="19"/>
        <v>No</v>
      </c>
      <c r="M133" t="str">
        <f t="shared" si="20"/>
        <v>4-6 hrs</v>
      </c>
    </row>
    <row r="134" spans="1:13" x14ac:dyDescent="0.35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  <c r="G134" t="str">
        <f t="shared" si="14"/>
        <v>High screen time</v>
      </c>
      <c r="H134" t="str">
        <f t="shared" si="15"/>
        <v>Average</v>
      </c>
      <c r="I134" s="1">
        <f t="shared" si="16"/>
        <v>48.692307692307686</v>
      </c>
      <c r="J134">
        <f t="shared" si="17"/>
        <v>3</v>
      </c>
      <c r="K134" t="str">
        <f t="shared" si="18"/>
        <v>Older Student</v>
      </c>
      <c r="L134" t="str">
        <f t="shared" si="19"/>
        <v>No</v>
      </c>
      <c r="M134" t="str">
        <f t="shared" si="20"/>
        <v>4-6 hrs</v>
      </c>
    </row>
    <row r="135" spans="1:13" x14ac:dyDescent="0.35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  <c r="G135" t="str">
        <f t="shared" si="14"/>
        <v>Low screen time</v>
      </c>
      <c r="H135" t="str">
        <f t="shared" si="15"/>
        <v>Average</v>
      </c>
      <c r="I135" s="1">
        <f t="shared" si="16"/>
        <v>23.481481481481481</v>
      </c>
      <c r="J135">
        <f t="shared" si="17"/>
        <v>4.9000000000000004</v>
      </c>
      <c r="K135" t="str">
        <f t="shared" si="18"/>
        <v>Older Student</v>
      </c>
      <c r="L135" t="str">
        <f t="shared" si="19"/>
        <v>No</v>
      </c>
      <c r="M135" t="str">
        <f t="shared" si="20"/>
        <v>0-2 hrs</v>
      </c>
    </row>
    <row r="136" spans="1:13" x14ac:dyDescent="0.35">
      <c r="A136">
        <v>135</v>
      </c>
      <c r="B136">
        <v>15</v>
      </c>
      <c r="C136" s="3">
        <f ca="1">AVERAGE(C132:C336)</f>
        <v>2.5577889447236175</v>
      </c>
      <c r="D136">
        <v>4.7</v>
      </c>
      <c r="E136">
        <v>74.5</v>
      </c>
      <c r="F136">
        <v>1.4</v>
      </c>
      <c r="G136" t="str">
        <f t="shared" si="14"/>
        <v>High screen time</v>
      </c>
      <c r="H136" t="str">
        <f t="shared" si="15"/>
        <v>Average</v>
      </c>
      <c r="I136" s="1">
        <f t="shared" ca="1" si="16"/>
        <v>30</v>
      </c>
      <c r="J136">
        <f t="shared" ca="1" si="17"/>
        <v>4.0999999999999996</v>
      </c>
      <c r="K136" t="str">
        <f t="shared" si="18"/>
        <v>Teen</v>
      </c>
      <c r="L136" t="str">
        <f t="shared" si="19"/>
        <v>No</v>
      </c>
      <c r="M136" t="str">
        <f t="shared" si="20"/>
        <v>4-6 hrs</v>
      </c>
    </row>
    <row r="137" spans="1:13" x14ac:dyDescent="0.35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  <c r="G137" t="str">
        <f t="shared" si="14"/>
        <v>Low screen time</v>
      </c>
      <c r="H137" t="str">
        <f t="shared" si="15"/>
        <v>Average</v>
      </c>
      <c r="I137" s="1">
        <f t="shared" si="16"/>
        <v>41.235294117647058</v>
      </c>
      <c r="J137">
        <f t="shared" si="17"/>
        <v>3.2</v>
      </c>
      <c r="K137" t="str">
        <f t="shared" si="18"/>
        <v>Teen</v>
      </c>
      <c r="L137" t="str">
        <f t="shared" si="19"/>
        <v>No</v>
      </c>
      <c r="M137" t="str">
        <f t="shared" si="20"/>
        <v>0-2 hrs</v>
      </c>
    </row>
    <row r="138" spans="1:13" x14ac:dyDescent="0.35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  <c r="G138" t="str">
        <f t="shared" si="14"/>
        <v>High screen time</v>
      </c>
      <c r="H138" t="str">
        <f t="shared" si="15"/>
        <v>High</v>
      </c>
      <c r="I138" s="1">
        <f t="shared" si="16"/>
        <v>28.999999999999996</v>
      </c>
      <c r="J138">
        <f t="shared" si="17"/>
        <v>5.6</v>
      </c>
      <c r="K138" t="str">
        <f t="shared" si="18"/>
        <v>Older Student</v>
      </c>
      <c r="L138" t="str">
        <f t="shared" si="19"/>
        <v>No</v>
      </c>
      <c r="M138" t="str">
        <f t="shared" si="20"/>
        <v>6+ hrs</v>
      </c>
    </row>
    <row r="139" spans="1:13" x14ac:dyDescent="0.35">
      <c r="A139">
        <v>138</v>
      </c>
      <c r="B139">
        <v>14</v>
      </c>
      <c r="C139">
        <v>3.1</v>
      </c>
      <c r="D139">
        <v>2.2999999999999998</v>
      </c>
      <c r="E139" s="3">
        <f ca="1">AVERAGE(E102:E306)</f>
        <v>70.850753768844243</v>
      </c>
      <c r="F139">
        <v>1.2</v>
      </c>
      <c r="G139" t="str">
        <f t="shared" si="14"/>
        <v>Low screen time</v>
      </c>
      <c r="H139" t="str">
        <f t="shared" ca="1" si="15"/>
        <v>High</v>
      </c>
      <c r="I139" s="1">
        <f t="shared" ca="1" si="16"/>
        <v>30</v>
      </c>
      <c r="J139">
        <f t="shared" si="17"/>
        <v>4.3</v>
      </c>
      <c r="K139" t="str">
        <f t="shared" si="18"/>
        <v>Teen</v>
      </c>
      <c r="L139" t="str">
        <f t="shared" ca="1" si="19"/>
        <v>No</v>
      </c>
      <c r="M139" t="str">
        <f t="shared" si="20"/>
        <v>2-4 hrs</v>
      </c>
    </row>
    <row r="140" spans="1:13" x14ac:dyDescent="0.35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  <c r="G140" t="str">
        <f t="shared" si="14"/>
        <v>High screen time</v>
      </c>
      <c r="H140" t="str">
        <f t="shared" si="15"/>
        <v>Average</v>
      </c>
      <c r="I140" s="1">
        <f t="shared" si="16"/>
        <v>35.549999999999997</v>
      </c>
      <c r="J140">
        <f t="shared" si="17"/>
        <v>4</v>
      </c>
      <c r="K140" t="str">
        <f t="shared" si="18"/>
        <v>Teen</v>
      </c>
      <c r="L140" t="str">
        <f t="shared" si="19"/>
        <v>No</v>
      </c>
      <c r="M140" t="str">
        <f t="shared" si="20"/>
        <v>6+ hrs</v>
      </c>
    </row>
    <row r="141" spans="1:13" x14ac:dyDescent="0.35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  <c r="G141" t="str">
        <f t="shared" si="14"/>
        <v>Low screen time</v>
      </c>
      <c r="H141" t="str">
        <f t="shared" si="15"/>
        <v>High</v>
      </c>
      <c r="I141" s="1">
        <f t="shared" si="16"/>
        <v>203.24999999999997</v>
      </c>
      <c r="J141">
        <f t="shared" si="17"/>
        <v>1.5</v>
      </c>
      <c r="K141" t="str">
        <f t="shared" si="18"/>
        <v>Older Student</v>
      </c>
      <c r="L141" t="str">
        <f t="shared" si="19"/>
        <v>No</v>
      </c>
      <c r="M141" t="str">
        <f t="shared" si="20"/>
        <v>2-4 hrs</v>
      </c>
    </row>
    <row r="142" spans="1:13" x14ac:dyDescent="0.35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  <c r="G142" t="str">
        <f t="shared" si="14"/>
        <v>High screen time</v>
      </c>
      <c r="H142" t="str">
        <f t="shared" si="15"/>
        <v>Average</v>
      </c>
      <c r="I142" s="1">
        <f t="shared" si="16"/>
        <v>30.571428571428573</v>
      </c>
      <c r="J142">
        <f t="shared" si="17"/>
        <v>3.3</v>
      </c>
      <c r="K142" t="str">
        <f t="shared" si="18"/>
        <v>Teen</v>
      </c>
      <c r="L142" t="str">
        <f t="shared" si="19"/>
        <v>No</v>
      </c>
      <c r="M142" t="str">
        <f t="shared" si="20"/>
        <v>4-6 hrs</v>
      </c>
    </row>
    <row r="143" spans="1:13" x14ac:dyDescent="0.35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  <c r="G143" t="str">
        <f t="shared" si="14"/>
        <v>Low screen time</v>
      </c>
      <c r="H143" t="str">
        <f t="shared" si="15"/>
        <v>Average</v>
      </c>
      <c r="I143" s="1">
        <f t="shared" si="16"/>
        <v>23.423076923076923</v>
      </c>
      <c r="J143">
        <f t="shared" si="17"/>
        <v>4</v>
      </c>
      <c r="K143" t="str">
        <f t="shared" si="18"/>
        <v>Older Student</v>
      </c>
      <c r="L143" t="str">
        <f t="shared" si="19"/>
        <v>No</v>
      </c>
      <c r="M143" t="str">
        <f t="shared" si="20"/>
        <v>2-4 hrs</v>
      </c>
    </row>
    <row r="144" spans="1:13" x14ac:dyDescent="0.35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  <c r="G144" t="str">
        <f t="shared" si="14"/>
        <v>High screen time</v>
      </c>
      <c r="H144" t="str">
        <f t="shared" si="15"/>
        <v>Average</v>
      </c>
      <c r="I144" s="1">
        <f t="shared" si="16"/>
        <v>24.52</v>
      </c>
      <c r="J144">
        <f t="shared" si="17"/>
        <v>4.4000000000000004</v>
      </c>
      <c r="K144" t="str">
        <f t="shared" si="18"/>
        <v>Older Student</v>
      </c>
      <c r="L144" t="str">
        <f t="shared" si="19"/>
        <v>No</v>
      </c>
      <c r="M144" t="str">
        <f t="shared" si="20"/>
        <v>4-6 hrs</v>
      </c>
    </row>
    <row r="145" spans="1:13" x14ac:dyDescent="0.35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  <c r="G145" t="str">
        <f t="shared" si="14"/>
        <v>Low screen time</v>
      </c>
      <c r="H145" t="str">
        <f t="shared" si="15"/>
        <v>Average</v>
      </c>
      <c r="I145" s="1">
        <f t="shared" si="16"/>
        <v>16.333333333333332</v>
      </c>
      <c r="J145">
        <f t="shared" si="17"/>
        <v>5.8</v>
      </c>
      <c r="K145" t="str">
        <f t="shared" si="18"/>
        <v>Older Student</v>
      </c>
      <c r="L145" t="str">
        <f t="shared" si="19"/>
        <v>No</v>
      </c>
      <c r="M145" t="str">
        <f t="shared" si="20"/>
        <v>2-4 hrs</v>
      </c>
    </row>
    <row r="146" spans="1:13" x14ac:dyDescent="0.35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  <c r="G146" t="str">
        <f t="shared" si="14"/>
        <v>High screen time</v>
      </c>
      <c r="H146" t="str">
        <f t="shared" si="15"/>
        <v>High</v>
      </c>
      <c r="I146" s="1">
        <f t="shared" si="16"/>
        <v>18.977272727272727</v>
      </c>
      <c r="J146">
        <f t="shared" si="17"/>
        <v>6</v>
      </c>
      <c r="K146" t="str">
        <f t="shared" si="18"/>
        <v>Older Student</v>
      </c>
      <c r="L146" t="str">
        <f t="shared" si="19"/>
        <v>No</v>
      </c>
      <c r="M146" t="str">
        <f t="shared" si="20"/>
        <v>4-6 hrs</v>
      </c>
    </row>
    <row r="147" spans="1:13" x14ac:dyDescent="0.35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  <c r="G147" t="str">
        <f t="shared" si="14"/>
        <v>Low screen time</v>
      </c>
      <c r="H147" t="str">
        <f t="shared" si="15"/>
        <v>Average</v>
      </c>
      <c r="I147" s="1">
        <f t="shared" si="16"/>
        <v>23</v>
      </c>
      <c r="J147">
        <f t="shared" si="17"/>
        <v>3.1999999999999997</v>
      </c>
      <c r="K147" t="str">
        <f t="shared" si="18"/>
        <v>Older Student</v>
      </c>
      <c r="L147" t="str">
        <f t="shared" si="19"/>
        <v>No</v>
      </c>
      <c r="M147" t="str">
        <f t="shared" si="20"/>
        <v>2-4 hrs</v>
      </c>
    </row>
    <row r="148" spans="1:13" x14ac:dyDescent="0.35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  <c r="G148" t="str">
        <f t="shared" si="14"/>
        <v>Low screen time</v>
      </c>
      <c r="H148" t="str">
        <f t="shared" si="15"/>
        <v>Average</v>
      </c>
      <c r="I148" s="1">
        <f t="shared" si="16"/>
        <v>21.129032258064516</v>
      </c>
      <c r="J148">
        <f t="shared" si="17"/>
        <v>5.0999999999999996</v>
      </c>
      <c r="K148" t="str">
        <f t="shared" si="18"/>
        <v>Older Student</v>
      </c>
      <c r="L148" t="str">
        <f t="shared" si="19"/>
        <v>No</v>
      </c>
      <c r="M148" t="str">
        <f t="shared" si="20"/>
        <v>0-2 hrs</v>
      </c>
    </row>
    <row r="149" spans="1:13" x14ac:dyDescent="0.35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  <c r="G149" t="str">
        <f t="shared" si="14"/>
        <v>High screen time</v>
      </c>
      <c r="H149" t="str">
        <f t="shared" si="15"/>
        <v>Low</v>
      </c>
      <c r="I149" s="1">
        <f t="shared" si="16"/>
        <v>18.769230769230766</v>
      </c>
      <c r="J149">
        <f t="shared" si="17"/>
        <v>6.1</v>
      </c>
      <c r="K149" t="str">
        <f t="shared" si="18"/>
        <v>Teen</v>
      </c>
      <c r="L149" t="str">
        <f t="shared" si="19"/>
        <v>Yes</v>
      </c>
      <c r="M149" t="str">
        <f t="shared" si="20"/>
        <v>4-6 hrs</v>
      </c>
    </row>
    <row r="150" spans="1:13" x14ac:dyDescent="0.35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  <c r="G150" t="str">
        <f t="shared" si="14"/>
        <v>Low screen time</v>
      </c>
      <c r="H150" t="str">
        <f t="shared" si="15"/>
        <v>Average</v>
      </c>
      <c r="I150" s="1">
        <f t="shared" si="16"/>
        <v>15.054054054054054</v>
      </c>
      <c r="J150">
        <f t="shared" si="17"/>
        <v>5.3000000000000007</v>
      </c>
      <c r="K150" t="str">
        <f t="shared" si="18"/>
        <v>Teen</v>
      </c>
      <c r="L150" t="str">
        <f t="shared" si="19"/>
        <v>No</v>
      </c>
      <c r="M150" t="str">
        <f t="shared" si="20"/>
        <v>2-4 hrs</v>
      </c>
    </row>
    <row r="151" spans="1:13" x14ac:dyDescent="0.35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  <c r="G151" t="str">
        <f t="shared" si="14"/>
        <v>High screen time</v>
      </c>
      <c r="H151" t="str">
        <f t="shared" si="15"/>
        <v>High</v>
      </c>
      <c r="I151" s="1">
        <f t="shared" si="16"/>
        <v>28.233333333333334</v>
      </c>
      <c r="J151">
        <f t="shared" si="17"/>
        <v>3.1</v>
      </c>
      <c r="K151" t="str">
        <f t="shared" si="18"/>
        <v>Older Student</v>
      </c>
      <c r="L151" t="str">
        <f t="shared" si="19"/>
        <v>No</v>
      </c>
      <c r="M151" t="str">
        <f t="shared" si="20"/>
        <v>4-6 hrs</v>
      </c>
    </row>
    <row r="152" spans="1:13" x14ac:dyDescent="0.35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  <c r="G152" t="str">
        <f t="shared" si="14"/>
        <v>Low screen time</v>
      </c>
      <c r="H152" t="str">
        <f t="shared" si="15"/>
        <v>Average</v>
      </c>
      <c r="I152" s="1">
        <f t="shared" si="16"/>
        <v>22.8125</v>
      </c>
      <c r="J152">
        <f t="shared" si="17"/>
        <v>4.8000000000000007</v>
      </c>
      <c r="K152" t="str">
        <f t="shared" si="18"/>
        <v>Teen</v>
      </c>
      <c r="L152" t="str">
        <f t="shared" si="19"/>
        <v>No</v>
      </c>
      <c r="M152" t="str">
        <f t="shared" si="20"/>
        <v>2-4 hrs</v>
      </c>
    </row>
    <row r="153" spans="1:13" x14ac:dyDescent="0.35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  <c r="G153" t="str">
        <f t="shared" si="14"/>
        <v>Low screen time</v>
      </c>
      <c r="H153" t="str">
        <f t="shared" si="15"/>
        <v>High</v>
      </c>
      <c r="I153" s="1">
        <f t="shared" si="16"/>
        <v>19</v>
      </c>
      <c r="J153">
        <f t="shared" si="17"/>
        <v>5.8</v>
      </c>
      <c r="K153" t="str">
        <f t="shared" si="18"/>
        <v>Teen</v>
      </c>
      <c r="L153" t="str">
        <f t="shared" si="19"/>
        <v>No</v>
      </c>
      <c r="M153" t="str">
        <f t="shared" si="20"/>
        <v>2-4 hrs</v>
      </c>
    </row>
    <row r="154" spans="1:13" x14ac:dyDescent="0.35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  <c r="G154" t="str">
        <f t="shared" si="14"/>
        <v>High screen time</v>
      </c>
      <c r="H154" t="str">
        <f t="shared" si="15"/>
        <v>High</v>
      </c>
      <c r="I154" s="1">
        <f t="shared" si="16"/>
        <v>29.777777777777779</v>
      </c>
      <c r="J154">
        <f t="shared" si="17"/>
        <v>4.0999999999999996</v>
      </c>
      <c r="K154" t="str">
        <f t="shared" si="18"/>
        <v>Teen</v>
      </c>
      <c r="L154" t="str">
        <f t="shared" si="19"/>
        <v>No</v>
      </c>
      <c r="M154" t="str">
        <f t="shared" si="20"/>
        <v>6+ hrs</v>
      </c>
    </row>
    <row r="155" spans="1:13" x14ac:dyDescent="0.35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  <c r="G155" t="str">
        <f t="shared" si="14"/>
        <v>High screen time</v>
      </c>
      <c r="H155" t="str">
        <f t="shared" si="15"/>
        <v>Average</v>
      </c>
      <c r="I155" s="1">
        <f t="shared" si="16"/>
        <v>27.27272727272727</v>
      </c>
      <c r="J155">
        <f t="shared" si="17"/>
        <v>4.5</v>
      </c>
      <c r="K155" t="str">
        <f t="shared" si="18"/>
        <v>Teen</v>
      </c>
      <c r="L155" t="str">
        <f t="shared" si="19"/>
        <v>No</v>
      </c>
      <c r="M155" t="str">
        <f t="shared" si="20"/>
        <v>6+ hrs</v>
      </c>
    </row>
    <row r="156" spans="1:13" x14ac:dyDescent="0.35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  <c r="G156" t="str">
        <f t="shared" si="14"/>
        <v>High screen time</v>
      </c>
      <c r="H156" t="str">
        <f t="shared" si="15"/>
        <v>High</v>
      </c>
      <c r="I156" s="1">
        <f t="shared" si="16"/>
        <v>32.517241379310342</v>
      </c>
      <c r="J156">
        <f t="shared" si="17"/>
        <v>5.5</v>
      </c>
      <c r="K156" t="str">
        <f t="shared" si="18"/>
        <v>Teen</v>
      </c>
      <c r="L156" t="str">
        <f t="shared" si="19"/>
        <v>No</v>
      </c>
      <c r="M156" t="str">
        <f t="shared" si="20"/>
        <v>4-6 hrs</v>
      </c>
    </row>
    <row r="157" spans="1:13" x14ac:dyDescent="0.35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  <c r="G157" t="str">
        <f t="shared" si="14"/>
        <v>Low screen time</v>
      </c>
      <c r="H157" t="str">
        <f t="shared" si="15"/>
        <v>High</v>
      </c>
      <c r="I157" s="1">
        <f t="shared" si="16"/>
        <v>24.861111111111111</v>
      </c>
      <c r="J157">
        <f t="shared" si="17"/>
        <v>5.6</v>
      </c>
      <c r="K157" t="str">
        <f t="shared" si="18"/>
        <v>Teen</v>
      </c>
      <c r="L157" t="str">
        <f t="shared" si="19"/>
        <v>No</v>
      </c>
      <c r="M157" t="str">
        <f t="shared" si="20"/>
        <v>2-4 hrs</v>
      </c>
    </row>
    <row r="158" spans="1:13" x14ac:dyDescent="0.35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  <c r="G158" t="str">
        <f t="shared" si="14"/>
        <v>Low screen time</v>
      </c>
      <c r="H158" t="str">
        <f t="shared" si="15"/>
        <v>Average</v>
      </c>
      <c r="I158" s="1">
        <f t="shared" si="16"/>
        <v>21.466666666666669</v>
      </c>
      <c r="J158">
        <f t="shared" si="17"/>
        <v>4.4000000000000004</v>
      </c>
      <c r="K158" t="str">
        <f t="shared" si="18"/>
        <v>Older Student</v>
      </c>
      <c r="L158" t="str">
        <f t="shared" si="19"/>
        <v>No</v>
      </c>
      <c r="M158" t="str">
        <f t="shared" si="20"/>
        <v>2-4 hrs</v>
      </c>
    </row>
    <row r="159" spans="1:13" x14ac:dyDescent="0.35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  <c r="G159" t="str">
        <f t="shared" si="14"/>
        <v>Low screen time</v>
      </c>
      <c r="H159" t="str">
        <f t="shared" si="15"/>
        <v>Low</v>
      </c>
      <c r="I159" s="1">
        <f t="shared" si="16"/>
        <v>9.5277777777777768</v>
      </c>
      <c r="J159">
        <f t="shared" si="17"/>
        <v>6</v>
      </c>
      <c r="K159" t="str">
        <f t="shared" si="18"/>
        <v>Older Student</v>
      </c>
      <c r="L159" t="str">
        <f t="shared" si="19"/>
        <v>No</v>
      </c>
      <c r="M159" t="str">
        <f t="shared" si="20"/>
        <v>2-4 hrs</v>
      </c>
    </row>
    <row r="160" spans="1:13" x14ac:dyDescent="0.35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  <c r="G160" t="str">
        <f t="shared" si="14"/>
        <v>Low screen time</v>
      </c>
      <c r="H160" t="str">
        <f t="shared" si="15"/>
        <v>Average</v>
      </c>
      <c r="I160" s="1">
        <f t="shared" si="16"/>
        <v>36.888888888888893</v>
      </c>
      <c r="J160">
        <f t="shared" si="17"/>
        <v>2.1</v>
      </c>
      <c r="K160" t="str">
        <f t="shared" si="18"/>
        <v>Teen</v>
      </c>
      <c r="L160" t="str">
        <f t="shared" si="19"/>
        <v>No</v>
      </c>
      <c r="M160" t="str">
        <f t="shared" si="20"/>
        <v>2-4 hrs</v>
      </c>
    </row>
    <row r="161" spans="1:13" x14ac:dyDescent="0.35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  <c r="G161" t="str">
        <f t="shared" si="14"/>
        <v>Low screen time</v>
      </c>
      <c r="H161" t="str">
        <f t="shared" si="15"/>
        <v>Average</v>
      </c>
      <c r="I161" s="1">
        <f t="shared" si="16"/>
        <v>45.25</v>
      </c>
      <c r="J161">
        <f t="shared" si="17"/>
        <v>2.5</v>
      </c>
      <c r="K161" t="str">
        <f t="shared" si="18"/>
        <v>Teen</v>
      </c>
      <c r="L161" t="str">
        <f t="shared" si="19"/>
        <v>No</v>
      </c>
      <c r="M161" t="str">
        <f t="shared" si="20"/>
        <v>2-4 hrs</v>
      </c>
    </row>
    <row r="162" spans="1:13" x14ac:dyDescent="0.35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  <c r="G162" t="str">
        <f t="shared" si="14"/>
        <v>High screen time</v>
      </c>
      <c r="H162" t="str">
        <f t="shared" si="15"/>
        <v>Average</v>
      </c>
      <c r="I162" s="1">
        <f t="shared" si="16"/>
        <v>32.15</v>
      </c>
      <c r="J162">
        <f t="shared" si="17"/>
        <v>3</v>
      </c>
      <c r="K162" t="str">
        <f t="shared" si="18"/>
        <v>Teen</v>
      </c>
      <c r="L162" t="str">
        <f t="shared" si="19"/>
        <v>No</v>
      </c>
      <c r="M162" t="str">
        <f t="shared" si="20"/>
        <v>6+ hrs</v>
      </c>
    </row>
    <row r="163" spans="1:13" x14ac:dyDescent="0.35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  <c r="G163" t="str">
        <f t="shared" si="14"/>
        <v>Low screen time</v>
      </c>
      <c r="H163" t="str">
        <f t="shared" si="15"/>
        <v>Average</v>
      </c>
      <c r="I163" s="1">
        <f t="shared" si="16"/>
        <v>56.5</v>
      </c>
      <c r="J163">
        <f t="shared" si="17"/>
        <v>2.7</v>
      </c>
      <c r="K163" t="str">
        <f t="shared" si="18"/>
        <v>Teen</v>
      </c>
      <c r="L163" t="str">
        <f t="shared" si="19"/>
        <v>No</v>
      </c>
      <c r="M163" t="str">
        <f t="shared" si="20"/>
        <v>2-4 hrs</v>
      </c>
    </row>
    <row r="164" spans="1:13" x14ac:dyDescent="0.35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  <c r="G164" t="str">
        <f t="shared" si="14"/>
        <v>Low screen time</v>
      </c>
      <c r="H164" t="str">
        <f t="shared" si="15"/>
        <v>Average</v>
      </c>
      <c r="I164" s="1">
        <f t="shared" si="16"/>
        <v>23.73076923076923</v>
      </c>
      <c r="J164">
        <f t="shared" si="17"/>
        <v>4.5</v>
      </c>
      <c r="K164" t="str">
        <f t="shared" si="18"/>
        <v>Older Student</v>
      </c>
      <c r="L164" t="str">
        <f t="shared" si="19"/>
        <v>No</v>
      </c>
      <c r="M164" t="str">
        <f t="shared" si="20"/>
        <v>2-4 hrs</v>
      </c>
    </row>
    <row r="165" spans="1:13" x14ac:dyDescent="0.35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  <c r="G165" t="str">
        <f t="shared" si="14"/>
        <v>High screen time</v>
      </c>
      <c r="H165" t="str">
        <f t="shared" si="15"/>
        <v>High</v>
      </c>
      <c r="I165" s="1">
        <f t="shared" si="16"/>
        <v>37.714285714285715</v>
      </c>
      <c r="J165">
        <f t="shared" si="17"/>
        <v>3.4000000000000004</v>
      </c>
      <c r="K165" t="str">
        <f t="shared" si="18"/>
        <v>Teen</v>
      </c>
      <c r="L165" t="str">
        <f t="shared" si="19"/>
        <v>No</v>
      </c>
      <c r="M165" t="str">
        <f t="shared" si="20"/>
        <v>4-6 hrs</v>
      </c>
    </row>
    <row r="166" spans="1:13" x14ac:dyDescent="0.35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  <c r="G166" t="str">
        <f t="shared" si="14"/>
        <v>High screen time</v>
      </c>
      <c r="H166" t="str">
        <f t="shared" si="15"/>
        <v>Average</v>
      </c>
      <c r="I166" s="1">
        <f t="shared" si="16"/>
        <v>19.081081081081077</v>
      </c>
      <c r="J166">
        <f t="shared" si="17"/>
        <v>4.5</v>
      </c>
      <c r="K166" t="str">
        <f t="shared" si="18"/>
        <v>Teen</v>
      </c>
      <c r="L166" t="str">
        <f t="shared" si="19"/>
        <v>No</v>
      </c>
      <c r="M166" t="str">
        <f t="shared" si="20"/>
        <v>4-6 hrs</v>
      </c>
    </row>
    <row r="167" spans="1:13" x14ac:dyDescent="0.35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  <c r="G167" t="str">
        <f t="shared" si="14"/>
        <v>High screen time</v>
      </c>
      <c r="H167" t="str">
        <f t="shared" si="15"/>
        <v>High</v>
      </c>
      <c r="I167" s="1">
        <f t="shared" si="16"/>
        <v>66.25</v>
      </c>
      <c r="J167">
        <f t="shared" si="17"/>
        <v>3.5</v>
      </c>
      <c r="K167" t="str">
        <f t="shared" si="18"/>
        <v>Teen</v>
      </c>
      <c r="L167" t="str">
        <f t="shared" si="19"/>
        <v>No</v>
      </c>
      <c r="M167" t="str">
        <f t="shared" si="20"/>
        <v>4-6 hrs</v>
      </c>
    </row>
    <row r="168" spans="1:13" x14ac:dyDescent="0.35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  <c r="G168" t="str">
        <f t="shared" si="14"/>
        <v>High screen time</v>
      </c>
      <c r="H168" t="str">
        <f t="shared" si="15"/>
        <v>High</v>
      </c>
      <c r="I168" s="1">
        <f t="shared" si="16"/>
        <v>20.04878048780488</v>
      </c>
      <c r="J168">
        <f t="shared" si="17"/>
        <v>5.3999999999999995</v>
      </c>
      <c r="K168" t="str">
        <f t="shared" si="18"/>
        <v>Older Student</v>
      </c>
      <c r="L168" t="str">
        <f t="shared" si="19"/>
        <v>No</v>
      </c>
      <c r="M168" t="str">
        <f t="shared" si="20"/>
        <v>4-6 hrs</v>
      </c>
    </row>
    <row r="169" spans="1:13" x14ac:dyDescent="0.35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  <c r="G169" t="str">
        <f t="shared" si="14"/>
        <v>High screen time</v>
      </c>
      <c r="H169" t="str">
        <f t="shared" si="15"/>
        <v>Low</v>
      </c>
      <c r="I169" s="1">
        <f t="shared" si="16"/>
        <v>32.199999999999996</v>
      </c>
      <c r="J169">
        <f t="shared" si="17"/>
        <v>3.1</v>
      </c>
      <c r="K169" t="str">
        <f t="shared" si="18"/>
        <v>Teen</v>
      </c>
      <c r="L169" t="str">
        <f t="shared" si="19"/>
        <v>Yes</v>
      </c>
      <c r="M169" t="str">
        <f t="shared" si="20"/>
        <v>4-6 hrs</v>
      </c>
    </row>
    <row r="170" spans="1:13" x14ac:dyDescent="0.35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  <c r="G170" t="str">
        <f t="shared" si="14"/>
        <v>High screen time</v>
      </c>
      <c r="H170" t="str">
        <f t="shared" si="15"/>
        <v>Average</v>
      </c>
      <c r="I170" s="1">
        <f t="shared" si="16"/>
        <v>47.92307692307692</v>
      </c>
      <c r="J170">
        <f t="shared" si="17"/>
        <v>3.2</v>
      </c>
      <c r="K170" t="str">
        <f t="shared" si="18"/>
        <v>Teen</v>
      </c>
      <c r="L170" t="str">
        <f t="shared" si="19"/>
        <v>No</v>
      </c>
      <c r="M170" t="str">
        <f t="shared" si="20"/>
        <v>4-6 hrs</v>
      </c>
    </row>
    <row r="171" spans="1:13" x14ac:dyDescent="0.35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  <c r="G171" t="str">
        <f t="shared" si="14"/>
        <v>Low screen time</v>
      </c>
      <c r="H171" t="str">
        <f t="shared" si="15"/>
        <v>Average</v>
      </c>
      <c r="I171" s="1">
        <f t="shared" si="16"/>
        <v>37.529411764705884</v>
      </c>
      <c r="J171">
        <f t="shared" si="17"/>
        <v>3.2</v>
      </c>
      <c r="K171" t="str">
        <f t="shared" si="18"/>
        <v>Older Student</v>
      </c>
      <c r="L171" t="str">
        <f t="shared" si="19"/>
        <v>No</v>
      </c>
      <c r="M171" t="str">
        <f t="shared" si="20"/>
        <v>2-4 hrs</v>
      </c>
    </row>
    <row r="172" spans="1:13" x14ac:dyDescent="0.35">
      <c r="A172">
        <v>171</v>
      </c>
      <c r="B172">
        <v>13</v>
      </c>
      <c r="C172">
        <v>4.5</v>
      </c>
      <c r="D172" s="3">
        <f ca="1">AVERAGE(D160:D364)</f>
        <v>4.013065326633166</v>
      </c>
      <c r="E172">
        <v>95.7</v>
      </c>
      <c r="F172">
        <v>1.5</v>
      </c>
      <c r="G172" t="str">
        <f t="shared" ca="1" si="14"/>
        <v>Low screen time</v>
      </c>
      <c r="H172" t="str">
        <f t="shared" si="15"/>
        <v>High</v>
      </c>
      <c r="I172" s="1">
        <f t="shared" si="16"/>
        <v>21.266666666666666</v>
      </c>
      <c r="J172">
        <f t="shared" si="17"/>
        <v>6</v>
      </c>
      <c r="K172" t="str">
        <f t="shared" si="18"/>
        <v>Teen</v>
      </c>
      <c r="L172" t="str">
        <f t="shared" ca="1" si="19"/>
        <v>No</v>
      </c>
      <c r="M172" t="str">
        <f t="shared" ca="1" si="20"/>
        <v>2-4 hrs</v>
      </c>
    </row>
    <row r="173" spans="1:13" x14ac:dyDescent="0.35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  <c r="G173" t="str">
        <f t="shared" si="14"/>
        <v>High screen time</v>
      </c>
      <c r="H173" t="str">
        <f t="shared" si="15"/>
        <v>Average</v>
      </c>
      <c r="I173" s="1">
        <f t="shared" si="16"/>
        <v>28.6</v>
      </c>
      <c r="J173">
        <f t="shared" si="17"/>
        <v>4.8</v>
      </c>
      <c r="K173" t="str">
        <f t="shared" si="18"/>
        <v>Teen</v>
      </c>
      <c r="L173" t="str">
        <f t="shared" si="19"/>
        <v>No</v>
      </c>
      <c r="M173" t="str">
        <f t="shared" si="20"/>
        <v>4-6 hrs</v>
      </c>
    </row>
    <row r="174" spans="1:13" x14ac:dyDescent="0.35">
      <c r="A174">
        <v>173</v>
      </c>
      <c r="B174">
        <v>14</v>
      </c>
      <c r="C174">
        <v>3</v>
      </c>
      <c r="D174">
        <v>4.5999999999999996</v>
      </c>
      <c r="E174" s="3">
        <f ca="1">AVERAGE(E137:E341)</f>
        <v>70.850753768844243</v>
      </c>
      <c r="F174">
        <v>1.6</v>
      </c>
      <c r="G174" t="str">
        <f t="shared" si="14"/>
        <v>High screen time</v>
      </c>
      <c r="H174" t="str">
        <f t="shared" ca="1" si="15"/>
        <v>High</v>
      </c>
      <c r="I174" s="1">
        <f t="shared" ca="1" si="16"/>
        <v>30</v>
      </c>
      <c r="J174">
        <f t="shared" si="17"/>
        <v>4.5999999999999996</v>
      </c>
      <c r="K174" t="str">
        <f t="shared" si="18"/>
        <v>Teen</v>
      </c>
      <c r="L174" t="str">
        <f t="shared" ca="1" si="19"/>
        <v>No</v>
      </c>
      <c r="M174" t="str">
        <f t="shared" si="20"/>
        <v>4-6 hrs</v>
      </c>
    </row>
    <row r="175" spans="1:13" x14ac:dyDescent="0.35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  <c r="G175" t="str">
        <f t="shared" si="14"/>
        <v>Low screen time</v>
      </c>
      <c r="H175" t="str">
        <f t="shared" si="15"/>
        <v>Average</v>
      </c>
      <c r="I175" s="1">
        <f t="shared" si="16"/>
        <v>22.260869565217394</v>
      </c>
      <c r="J175">
        <f t="shared" si="17"/>
        <v>4.5</v>
      </c>
      <c r="K175" t="str">
        <f t="shared" si="18"/>
        <v>Older Student</v>
      </c>
      <c r="L175" t="str">
        <f t="shared" si="19"/>
        <v>No</v>
      </c>
      <c r="M175" t="str">
        <f t="shared" si="20"/>
        <v>2-4 hrs</v>
      </c>
    </row>
    <row r="176" spans="1:13" x14ac:dyDescent="0.35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  <c r="G176" t="str">
        <f t="shared" si="14"/>
        <v>High screen time</v>
      </c>
      <c r="H176" t="str">
        <f t="shared" si="15"/>
        <v>Average</v>
      </c>
      <c r="I176" s="1">
        <f t="shared" si="16"/>
        <v>29.750000000000004</v>
      </c>
      <c r="J176">
        <f t="shared" si="17"/>
        <v>4.3</v>
      </c>
      <c r="K176" t="str">
        <f t="shared" si="18"/>
        <v>Older Student</v>
      </c>
      <c r="L176" t="str">
        <f t="shared" si="19"/>
        <v>No</v>
      </c>
      <c r="M176" t="str">
        <f t="shared" si="20"/>
        <v>4-6 hrs</v>
      </c>
    </row>
    <row r="177" spans="1:13" x14ac:dyDescent="0.35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  <c r="G177" t="str">
        <f t="shared" si="14"/>
        <v>High screen time</v>
      </c>
      <c r="H177" t="str">
        <f t="shared" si="15"/>
        <v>High</v>
      </c>
      <c r="I177" s="1">
        <f t="shared" si="16"/>
        <v>39.9</v>
      </c>
      <c r="J177">
        <f t="shared" si="17"/>
        <v>5.0999999999999996</v>
      </c>
      <c r="K177" t="str">
        <f t="shared" si="18"/>
        <v>Teen</v>
      </c>
      <c r="L177" t="str">
        <f t="shared" si="19"/>
        <v>No</v>
      </c>
      <c r="M177" t="str">
        <f t="shared" si="20"/>
        <v>4-6 hrs</v>
      </c>
    </row>
    <row r="178" spans="1:13" x14ac:dyDescent="0.35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  <c r="G178" t="str">
        <f t="shared" si="14"/>
        <v>Low screen time</v>
      </c>
      <c r="H178" t="str">
        <f t="shared" si="15"/>
        <v>High</v>
      </c>
      <c r="I178" s="1">
        <f t="shared" si="16"/>
        <v>30.230769230769226</v>
      </c>
      <c r="J178">
        <f t="shared" si="17"/>
        <v>4.4000000000000004</v>
      </c>
      <c r="K178" t="str">
        <f t="shared" si="18"/>
        <v>Teen</v>
      </c>
      <c r="L178" t="str">
        <f t="shared" si="19"/>
        <v>No</v>
      </c>
      <c r="M178" t="str">
        <f t="shared" si="20"/>
        <v>2-4 hrs</v>
      </c>
    </row>
    <row r="179" spans="1:13" x14ac:dyDescent="0.35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  <c r="G179" t="str">
        <f t="shared" si="14"/>
        <v>Low screen time</v>
      </c>
      <c r="H179" t="str">
        <f t="shared" si="15"/>
        <v>High</v>
      </c>
      <c r="I179" s="1">
        <f t="shared" si="16"/>
        <v>25.400000000000002</v>
      </c>
      <c r="J179">
        <f t="shared" si="17"/>
        <v>5</v>
      </c>
      <c r="K179" t="str">
        <f t="shared" si="18"/>
        <v>Teen</v>
      </c>
      <c r="L179" t="str">
        <f t="shared" si="19"/>
        <v>No</v>
      </c>
      <c r="M179" t="str">
        <f t="shared" si="20"/>
        <v>0-2 hrs</v>
      </c>
    </row>
    <row r="180" spans="1:13" x14ac:dyDescent="0.35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  <c r="G180" t="str">
        <f t="shared" si="14"/>
        <v>High screen time</v>
      </c>
      <c r="H180" t="str">
        <f t="shared" si="15"/>
        <v>Average</v>
      </c>
      <c r="I180" s="1">
        <f t="shared" si="16"/>
        <v>16.69047619047619</v>
      </c>
      <c r="J180">
        <f t="shared" si="17"/>
        <v>6.6</v>
      </c>
      <c r="K180" t="str">
        <f t="shared" si="18"/>
        <v>Older Student</v>
      </c>
      <c r="L180" t="str">
        <f t="shared" si="19"/>
        <v>No</v>
      </c>
      <c r="M180" t="str">
        <f t="shared" si="20"/>
        <v>4-6 hrs</v>
      </c>
    </row>
    <row r="181" spans="1:13" x14ac:dyDescent="0.35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  <c r="G181" t="str">
        <f t="shared" si="14"/>
        <v>Low screen time</v>
      </c>
      <c r="H181" t="str">
        <f t="shared" si="15"/>
        <v>Average</v>
      </c>
      <c r="I181" s="1">
        <f t="shared" si="16"/>
        <v>117.66666666666666</v>
      </c>
      <c r="J181">
        <f t="shared" si="17"/>
        <v>2.2000000000000002</v>
      </c>
      <c r="K181" t="str">
        <f t="shared" si="18"/>
        <v>Teen</v>
      </c>
      <c r="L181" t="str">
        <f t="shared" si="19"/>
        <v>No</v>
      </c>
      <c r="M181" t="str">
        <f t="shared" si="20"/>
        <v>2-4 hrs</v>
      </c>
    </row>
    <row r="182" spans="1:13" x14ac:dyDescent="0.35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  <c r="G182" t="str">
        <f t="shared" si="14"/>
        <v>High screen time</v>
      </c>
      <c r="H182" t="str">
        <f t="shared" si="15"/>
        <v>Average</v>
      </c>
      <c r="I182" s="1">
        <f t="shared" si="16"/>
        <v>12.951219512195124</v>
      </c>
      <c r="J182">
        <f t="shared" si="17"/>
        <v>5.0999999999999996</v>
      </c>
      <c r="K182" t="str">
        <f t="shared" si="18"/>
        <v>Teen</v>
      </c>
      <c r="L182" t="str">
        <f t="shared" si="19"/>
        <v>No</v>
      </c>
      <c r="M182" t="str">
        <f t="shared" si="20"/>
        <v>4-6 hrs</v>
      </c>
    </row>
    <row r="183" spans="1:13" x14ac:dyDescent="0.35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  <c r="G183" t="str">
        <f t="shared" si="14"/>
        <v>Low screen time</v>
      </c>
      <c r="H183" t="str">
        <f t="shared" si="15"/>
        <v>Average</v>
      </c>
      <c r="I183" s="1">
        <f t="shared" si="16"/>
        <v>20.333333333333332</v>
      </c>
      <c r="J183">
        <f t="shared" si="17"/>
        <v>4.0999999999999996</v>
      </c>
      <c r="K183" t="str">
        <f t="shared" si="18"/>
        <v>Teen</v>
      </c>
      <c r="L183" t="str">
        <f t="shared" si="19"/>
        <v>No</v>
      </c>
      <c r="M183" t="str">
        <f t="shared" si="20"/>
        <v>2-4 hrs</v>
      </c>
    </row>
    <row r="184" spans="1:13" x14ac:dyDescent="0.35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  <c r="G184" t="str">
        <f t="shared" si="14"/>
        <v>Low screen time</v>
      </c>
      <c r="H184" t="str">
        <f t="shared" si="15"/>
        <v>Average</v>
      </c>
      <c r="I184" s="1">
        <f t="shared" si="16"/>
        <v>34.428571428571423</v>
      </c>
      <c r="J184">
        <f t="shared" si="17"/>
        <v>3.2</v>
      </c>
      <c r="K184" t="str">
        <f t="shared" si="18"/>
        <v>Teen</v>
      </c>
      <c r="L184" t="str">
        <f t="shared" si="19"/>
        <v>No</v>
      </c>
      <c r="M184" t="str">
        <f t="shared" si="20"/>
        <v>0-2 hrs</v>
      </c>
    </row>
    <row r="185" spans="1:13" x14ac:dyDescent="0.35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  <c r="G185" t="str">
        <f t="shared" si="14"/>
        <v>High screen time</v>
      </c>
      <c r="H185" t="str">
        <f t="shared" si="15"/>
        <v>Average</v>
      </c>
      <c r="I185" s="1">
        <f t="shared" si="16"/>
        <v>31.4</v>
      </c>
      <c r="J185">
        <f t="shared" si="17"/>
        <v>2.7</v>
      </c>
      <c r="K185" t="str">
        <f t="shared" si="18"/>
        <v>Teen</v>
      </c>
      <c r="L185" t="str">
        <f t="shared" si="19"/>
        <v>No</v>
      </c>
      <c r="M185" t="str">
        <f t="shared" si="20"/>
        <v>4-6 hrs</v>
      </c>
    </row>
    <row r="186" spans="1:13" x14ac:dyDescent="0.35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  <c r="G186" t="str">
        <f t="shared" si="14"/>
        <v>Low screen time</v>
      </c>
      <c r="H186" t="str">
        <f t="shared" si="15"/>
        <v>High</v>
      </c>
      <c r="I186" s="1">
        <f t="shared" si="16"/>
        <v>21.971428571428572</v>
      </c>
      <c r="J186">
        <f t="shared" si="17"/>
        <v>5.3</v>
      </c>
      <c r="K186" t="str">
        <f t="shared" si="18"/>
        <v>Teen</v>
      </c>
      <c r="L186" t="str">
        <f t="shared" si="19"/>
        <v>No</v>
      </c>
      <c r="M186" t="str">
        <f t="shared" si="20"/>
        <v>2-4 hrs</v>
      </c>
    </row>
    <row r="187" spans="1:13" x14ac:dyDescent="0.35">
      <c r="A187">
        <v>186</v>
      </c>
      <c r="B187">
        <v>16</v>
      </c>
      <c r="C187">
        <v>2.7</v>
      </c>
      <c r="D187" s="3">
        <f ca="1">AVERAGE(D175:D379)</f>
        <v>4.013065326633166</v>
      </c>
      <c r="E187">
        <v>74.7</v>
      </c>
      <c r="F187">
        <v>1</v>
      </c>
      <c r="G187" t="str">
        <f t="shared" ca="1" si="14"/>
        <v>Low screen time</v>
      </c>
      <c r="H187" t="str">
        <f t="shared" si="15"/>
        <v>Average</v>
      </c>
      <c r="I187" s="1">
        <f t="shared" si="16"/>
        <v>27.666666666666664</v>
      </c>
      <c r="J187">
        <f t="shared" si="17"/>
        <v>3.7</v>
      </c>
      <c r="K187" t="str">
        <f t="shared" si="18"/>
        <v>Older Student</v>
      </c>
      <c r="L187" t="str">
        <f t="shared" ca="1" si="19"/>
        <v>No</v>
      </c>
      <c r="M187" t="str">
        <f t="shared" ca="1" si="20"/>
        <v>2-4 hrs</v>
      </c>
    </row>
    <row r="188" spans="1:13" x14ac:dyDescent="0.35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  <c r="G188" t="str">
        <f t="shared" si="14"/>
        <v>High screen time</v>
      </c>
      <c r="H188" t="str">
        <f t="shared" si="15"/>
        <v>High</v>
      </c>
      <c r="I188" s="1">
        <f t="shared" si="16"/>
        <v>83.7</v>
      </c>
      <c r="J188">
        <f t="shared" si="17"/>
        <v>2.7</v>
      </c>
      <c r="K188" t="str">
        <f t="shared" si="18"/>
        <v>Older Student</v>
      </c>
      <c r="L188" t="str">
        <f t="shared" si="19"/>
        <v>No</v>
      </c>
      <c r="M188" t="str">
        <f t="shared" si="20"/>
        <v>4-6 hrs</v>
      </c>
    </row>
    <row r="189" spans="1:13" x14ac:dyDescent="0.35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  <c r="G189" t="str">
        <f t="shared" si="14"/>
        <v>Low screen time</v>
      </c>
      <c r="H189" t="str">
        <f t="shared" si="15"/>
        <v>High</v>
      </c>
      <c r="I189" s="1">
        <f t="shared" si="16"/>
        <v>27.448275862068964</v>
      </c>
      <c r="J189">
        <f t="shared" si="17"/>
        <v>4.3</v>
      </c>
      <c r="K189" t="str">
        <f t="shared" si="18"/>
        <v>Teen</v>
      </c>
      <c r="L189" t="str">
        <f t="shared" si="19"/>
        <v>No</v>
      </c>
      <c r="M189" t="str">
        <f t="shared" si="20"/>
        <v>0-2 hrs</v>
      </c>
    </row>
    <row r="190" spans="1:13" x14ac:dyDescent="0.35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  <c r="G190" t="str">
        <f t="shared" si="14"/>
        <v>High screen time</v>
      </c>
      <c r="H190" t="str">
        <f t="shared" si="15"/>
        <v>Average</v>
      </c>
      <c r="I190" s="1">
        <f t="shared" si="16"/>
        <v>20.083333333333332</v>
      </c>
      <c r="J190">
        <f t="shared" si="17"/>
        <v>5.0999999999999996</v>
      </c>
      <c r="K190" t="str">
        <f t="shared" si="18"/>
        <v>Teen</v>
      </c>
      <c r="L190" t="str">
        <f t="shared" si="19"/>
        <v>No</v>
      </c>
      <c r="M190" t="str">
        <f t="shared" si="20"/>
        <v>6+ hrs</v>
      </c>
    </row>
    <row r="191" spans="1:13" x14ac:dyDescent="0.35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  <c r="G191" t="str">
        <f t="shared" si="14"/>
        <v>Low screen time</v>
      </c>
      <c r="H191" t="str">
        <f t="shared" si="15"/>
        <v>High</v>
      </c>
      <c r="I191" s="1">
        <f t="shared" si="16"/>
        <v>22.794117647058822</v>
      </c>
      <c r="J191">
        <f t="shared" si="17"/>
        <v>5.3</v>
      </c>
      <c r="K191" t="str">
        <f t="shared" si="18"/>
        <v>Teen</v>
      </c>
      <c r="L191" t="str">
        <f t="shared" si="19"/>
        <v>No</v>
      </c>
      <c r="M191" t="str">
        <f t="shared" si="20"/>
        <v>2-4 hrs</v>
      </c>
    </row>
    <row r="192" spans="1:13" x14ac:dyDescent="0.35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  <c r="G192" t="str">
        <f t="shared" si="14"/>
        <v>High screen time</v>
      </c>
      <c r="H192" t="str">
        <f t="shared" si="15"/>
        <v>High</v>
      </c>
      <c r="I192" s="1">
        <f t="shared" si="16"/>
        <v>42.157894736842103</v>
      </c>
      <c r="J192">
        <f t="shared" si="17"/>
        <v>3</v>
      </c>
      <c r="K192" t="str">
        <f t="shared" si="18"/>
        <v>Teen</v>
      </c>
      <c r="L192" t="str">
        <f t="shared" si="19"/>
        <v>No</v>
      </c>
      <c r="M192" t="str">
        <f t="shared" si="20"/>
        <v>4-6 hrs</v>
      </c>
    </row>
    <row r="193" spans="1:13" x14ac:dyDescent="0.35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  <c r="G193" t="str">
        <f t="shared" si="14"/>
        <v>High screen time</v>
      </c>
      <c r="H193" t="str">
        <f t="shared" si="15"/>
        <v>Average</v>
      </c>
      <c r="I193" s="1">
        <f t="shared" si="16"/>
        <v>54.083333333333343</v>
      </c>
      <c r="J193">
        <f t="shared" si="17"/>
        <v>3.2</v>
      </c>
      <c r="K193" t="str">
        <f t="shared" si="18"/>
        <v>Older Student</v>
      </c>
      <c r="L193" t="str">
        <f t="shared" si="19"/>
        <v>No</v>
      </c>
      <c r="M193" t="str">
        <f t="shared" si="20"/>
        <v>6+ hrs</v>
      </c>
    </row>
    <row r="194" spans="1:13" x14ac:dyDescent="0.35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  <c r="G194" t="str">
        <f t="shared" si="14"/>
        <v>High screen time</v>
      </c>
      <c r="H194" t="str">
        <f t="shared" si="15"/>
        <v>Average</v>
      </c>
      <c r="I194" s="1">
        <f t="shared" si="16"/>
        <v>30.318181818181817</v>
      </c>
      <c r="J194">
        <f t="shared" si="17"/>
        <v>5</v>
      </c>
      <c r="K194" t="str">
        <f t="shared" si="18"/>
        <v>Older Student</v>
      </c>
      <c r="L194" t="str">
        <f t="shared" si="19"/>
        <v>No</v>
      </c>
      <c r="M194" t="str">
        <f t="shared" si="20"/>
        <v>6+ hrs</v>
      </c>
    </row>
    <row r="195" spans="1:13" x14ac:dyDescent="0.35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  <c r="G195" t="str">
        <f t="shared" ref="G195:G206" si="21">IF(D195&gt;4,"High screen time","Low screen time")</f>
        <v>High screen time</v>
      </c>
      <c r="H195" t="str">
        <f t="shared" ref="H195:H206" si="22">IF(E195&gt;=75,"High",IF(E195&gt;=50,"Average","Low"))</f>
        <v>Average</v>
      </c>
      <c r="I195" s="1">
        <f t="shared" ref="I195:I206" si="23">E195/C195</f>
        <v>11.896551724137931</v>
      </c>
      <c r="J195">
        <f t="shared" ref="J195:J206" si="24">C195+F195</f>
        <v>7.6</v>
      </c>
      <c r="K195" t="str">
        <f t="shared" ref="K195:K206" si="25">IF(B195&lt;=15,"Teen","Older Student")</f>
        <v>Teen</v>
      </c>
      <c r="L195" t="str">
        <f t="shared" ref="L195:L206" si="26">IF(AND(D195&gt;4,E195&lt;50),"Yes","No")</f>
        <v>No</v>
      </c>
      <c r="M195" t="str">
        <f t="shared" ref="M195:M206" si="27">IF(D195&lt;=2,"0-2 hrs",IF(D195&lt;=4,"2-4 hrs",IF(D195&lt;=6,"4-6 hrs","6+ hrs")))</f>
        <v>6+ hrs</v>
      </c>
    </row>
    <row r="196" spans="1:13" x14ac:dyDescent="0.35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  <c r="G196" t="str">
        <f t="shared" si="21"/>
        <v>Low screen time</v>
      </c>
      <c r="H196" t="str">
        <f t="shared" si="22"/>
        <v>Average</v>
      </c>
      <c r="I196" s="1">
        <f t="shared" si="23"/>
        <v>65.2</v>
      </c>
      <c r="J196">
        <f t="shared" si="24"/>
        <v>1.9</v>
      </c>
      <c r="K196" t="str">
        <f t="shared" si="25"/>
        <v>Older Student</v>
      </c>
      <c r="L196" t="str">
        <f t="shared" si="26"/>
        <v>No</v>
      </c>
      <c r="M196" t="str">
        <f t="shared" si="27"/>
        <v>0-2 hrs</v>
      </c>
    </row>
    <row r="197" spans="1:13" x14ac:dyDescent="0.35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  <c r="G197" t="str">
        <f t="shared" si="21"/>
        <v>Low screen time</v>
      </c>
      <c r="H197" t="str">
        <f t="shared" si="22"/>
        <v>High</v>
      </c>
      <c r="I197" s="1">
        <f t="shared" si="23"/>
        <v>47.176470588235297</v>
      </c>
      <c r="J197">
        <f t="shared" si="24"/>
        <v>2.7</v>
      </c>
      <c r="K197" t="str">
        <f t="shared" si="25"/>
        <v>Teen</v>
      </c>
      <c r="L197" t="str">
        <f t="shared" si="26"/>
        <v>No</v>
      </c>
      <c r="M197" t="str">
        <f t="shared" si="27"/>
        <v>2-4 hrs</v>
      </c>
    </row>
    <row r="198" spans="1:13" x14ac:dyDescent="0.35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  <c r="G198" t="str">
        <f t="shared" si="21"/>
        <v>High screen time</v>
      </c>
      <c r="H198" t="str">
        <f t="shared" si="22"/>
        <v>Average</v>
      </c>
      <c r="I198" s="1">
        <f t="shared" si="23"/>
        <v>21.965517241379313</v>
      </c>
      <c r="J198">
        <f t="shared" si="24"/>
        <v>4.2</v>
      </c>
      <c r="K198" t="str">
        <f t="shared" si="25"/>
        <v>Teen</v>
      </c>
      <c r="L198" t="str">
        <f t="shared" si="26"/>
        <v>No</v>
      </c>
      <c r="M198" t="str">
        <f t="shared" si="27"/>
        <v>4-6 hrs</v>
      </c>
    </row>
    <row r="199" spans="1:13" x14ac:dyDescent="0.35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  <c r="G199" t="str">
        <f t="shared" si="21"/>
        <v>High screen time</v>
      </c>
      <c r="H199" t="str">
        <f t="shared" si="22"/>
        <v>High</v>
      </c>
      <c r="I199" s="1">
        <f t="shared" si="23"/>
        <v>34.375</v>
      </c>
      <c r="J199">
        <f t="shared" si="24"/>
        <v>3.4</v>
      </c>
      <c r="K199" t="str">
        <f t="shared" si="25"/>
        <v>Teen</v>
      </c>
      <c r="L199" t="str">
        <f t="shared" si="26"/>
        <v>No</v>
      </c>
      <c r="M199" t="str">
        <f t="shared" si="27"/>
        <v>4-6 hrs</v>
      </c>
    </row>
    <row r="200" spans="1:13" x14ac:dyDescent="0.35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  <c r="G200" t="str">
        <f t="shared" si="21"/>
        <v>Low screen time</v>
      </c>
      <c r="H200" t="str">
        <f t="shared" si="22"/>
        <v>Average</v>
      </c>
      <c r="I200" s="1">
        <f t="shared" si="23"/>
        <v>28.826086956521738</v>
      </c>
      <c r="J200">
        <f t="shared" si="24"/>
        <v>3</v>
      </c>
      <c r="K200" t="str">
        <f t="shared" si="25"/>
        <v>Older Student</v>
      </c>
      <c r="L200" t="str">
        <f t="shared" si="26"/>
        <v>No</v>
      </c>
      <c r="M200" t="str">
        <f t="shared" si="27"/>
        <v>2-4 hrs</v>
      </c>
    </row>
    <row r="201" spans="1:13" x14ac:dyDescent="0.35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  <c r="G201" t="str">
        <f t="shared" si="21"/>
        <v>Low screen time</v>
      </c>
      <c r="H201" t="str">
        <f t="shared" si="22"/>
        <v>Average</v>
      </c>
      <c r="I201" s="1">
        <f t="shared" si="23"/>
        <v>16.600000000000001</v>
      </c>
      <c r="J201">
        <f t="shared" si="24"/>
        <v>6.1</v>
      </c>
      <c r="K201" t="str">
        <f t="shared" si="25"/>
        <v>Older Student</v>
      </c>
      <c r="L201" t="str">
        <f t="shared" si="26"/>
        <v>No</v>
      </c>
      <c r="M201" t="str">
        <f t="shared" si="27"/>
        <v>0-2 hrs</v>
      </c>
    </row>
    <row r="202" spans="1:13" x14ac:dyDescent="0.35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  <c r="G202" t="str">
        <f t="shared" si="21"/>
        <v>High screen time</v>
      </c>
      <c r="H202" t="str">
        <f t="shared" si="22"/>
        <v>High</v>
      </c>
      <c r="I202" s="1">
        <f t="shared" si="23"/>
        <v>17.977272727272723</v>
      </c>
      <c r="J202">
        <f t="shared" si="24"/>
        <v>5.9</v>
      </c>
      <c r="K202" t="str">
        <f t="shared" si="25"/>
        <v>Older Student</v>
      </c>
      <c r="L202" t="str">
        <f t="shared" si="26"/>
        <v>No</v>
      </c>
      <c r="M202" t="str">
        <f t="shared" si="27"/>
        <v>4-6 hrs</v>
      </c>
    </row>
    <row r="203" spans="1:13" x14ac:dyDescent="0.35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  <c r="G203" t="str">
        <f t="shared" si="21"/>
        <v>High screen time</v>
      </c>
      <c r="H203" t="str">
        <f t="shared" si="22"/>
        <v>Average</v>
      </c>
      <c r="I203" s="1">
        <f t="shared" si="23"/>
        <v>41.444444444444443</v>
      </c>
      <c r="J203">
        <f t="shared" si="24"/>
        <v>3.4000000000000004</v>
      </c>
      <c r="K203" t="str">
        <f t="shared" si="25"/>
        <v>Teen</v>
      </c>
      <c r="L203" t="str">
        <f t="shared" si="26"/>
        <v>No</v>
      </c>
      <c r="M203" t="str">
        <f t="shared" si="27"/>
        <v>4-6 hrs</v>
      </c>
    </row>
    <row r="204" spans="1:13" x14ac:dyDescent="0.35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  <c r="G204" t="str">
        <f t="shared" si="21"/>
        <v>High screen time</v>
      </c>
      <c r="H204" t="str">
        <f t="shared" si="22"/>
        <v>Average</v>
      </c>
      <c r="I204" s="1">
        <f t="shared" si="23"/>
        <v>20.750000000000004</v>
      </c>
      <c r="J204">
        <f t="shared" si="24"/>
        <v>3.8</v>
      </c>
      <c r="K204" t="str">
        <f t="shared" si="25"/>
        <v>Older Student</v>
      </c>
      <c r="L204" t="str">
        <f t="shared" si="26"/>
        <v>No</v>
      </c>
      <c r="M204" t="str">
        <f t="shared" si="27"/>
        <v>4-6 hrs</v>
      </c>
    </row>
    <row r="205" spans="1:13" x14ac:dyDescent="0.35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  <c r="G205" t="str">
        <f t="shared" si="21"/>
        <v>Low screen time</v>
      </c>
      <c r="H205" t="str">
        <f t="shared" si="22"/>
        <v>Average</v>
      </c>
      <c r="I205" s="1">
        <f t="shared" si="23"/>
        <v>16.625</v>
      </c>
      <c r="J205">
        <f t="shared" si="24"/>
        <v>3.2</v>
      </c>
      <c r="K205" t="str">
        <f t="shared" si="25"/>
        <v>Teen</v>
      </c>
      <c r="L205" t="str">
        <f t="shared" si="26"/>
        <v>No</v>
      </c>
      <c r="M205" t="str">
        <f t="shared" si="27"/>
        <v>2-4 hrs</v>
      </c>
    </row>
    <row r="206" spans="1:13" x14ac:dyDescent="0.35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  <c r="G206" t="str">
        <f t="shared" si="21"/>
        <v>Low screen time</v>
      </c>
      <c r="H206" t="str">
        <f t="shared" si="22"/>
        <v>High</v>
      </c>
      <c r="I206" s="1">
        <f t="shared" si="23"/>
        <v>31.958333333333336</v>
      </c>
      <c r="J206">
        <f t="shared" si="24"/>
        <v>4.2</v>
      </c>
      <c r="K206" t="str">
        <f t="shared" si="25"/>
        <v>Teen</v>
      </c>
      <c r="L206" t="str">
        <f t="shared" si="26"/>
        <v>No</v>
      </c>
      <c r="M206" t="str">
        <f t="shared" si="27"/>
        <v>2-4 hrs</v>
      </c>
    </row>
  </sheetData>
  <conditionalFormatting sqref="C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E49B-F560-4DD4-A3AB-47AB62CC0F8F}">
  <dimension ref="A3:E18"/>
  <sheetViews>
    <sheetView workbookViewId="0">
      <selection activeCell="D3" sqref="D3:E8"/>
    </sheetView>
  </sheetViews>
  <sheetFormatPr defaultRowHeight="14.5" x14ac:dyDescent="0.35"/>
  <cols>
    <col min="1" max="1" width="14.453125" bestFit="1" customWidth="1"/>
    <col min="2" max="2" width="29.36328125" bestFit="1" customWidth="1"/>
    <col min="4" max="4" width="12.453125" bestFit="1" customWidth="1"/>
    <col min="5" max="5" width="19.81640625" bestFit="1" customWidth="1"/>
  </cols>
  <sheetData>
    <row r="3" spans="1:5" x14ac:dyDescent="0.35">
      <c r="A3" s="5" t="s">
        <v>12</v>
      </c>
      <c r="B3" t="s">
        <v>16</v>
      </c>
      <c r="D3" s="5" t="s">
        <v>12</v>
      </c>
      <c r="E3" t="s">
        <v>16</v>
      </c>
    </row>
    <row r="4" spans="1:5" x14ac:dyDescent="0.35">
      <c r="A4" s="6" t="s">
        <v>13</v>
      </c>
      <c r="B4" s="7">
        <v>72.425504975859724</v>
      </c>
      <c r="D4" s="6" t="s">
        <v>36</v>
      </c>
      <c r="E4" s="7">
        <v>70.880467555167129</v>
      </c>
    </row>
    <row r="5" spans="1:5" x14ac:dyDescent="0.35">
      <c r="A5" s="6" t="s">
        <v>14</v>
      </c>
      <c r="B5" s="7">
        <v>69.291291408498765</v>
      </c>
      <c r="D5" s="6" t="s">
        <v>33</v>
      </c>
      <c r="E5" s="7">
        <v>68.834403266331634</v>
      </c>
    </row>
    <row r="6" spans="1:5" x14ac:dyDescent="0.35">
      <c r="A6" s="6" t="s">
        <v>15</v>
      </c>
      <c r="B6" s="7">
        <v>70.850753768844271</v>
      </c>
      <c r="D6" s="6" t="s">
        <v>35</v>
      </c>
      <c r="E6" s="7">
        <v>72.795018844221133</v>
      </c>
    </row>
    <row r="7" spans="1:5" x14ac:dyDescent="0.35">
      <c r="D7" s="6" t="s">
        <v>34</v>
      </c>
      <c r="E7" s="7">
        <v>71.081818181818193</v>
      </c>
    </row>
    <row r="8" spans="1:5" x14ac:dyDescent="0.35">
      <c r="D8" s="6" t="s">
        <v>15</v>
      </c>
      <c r="E8" s="7">
        <v>70.850753768844228</v>
      </c>
    </row>
    <row r="9" spans="1:5" x14ac:dyDescent="0.35">
      <c r="A9" s="5" t="s">
        <v>12</v>
      </c>
      <c r="B9" t="s">
        <v>17</v>
      </c>
    </row>
    <row r="10" spans="1:5" x14ac:dyDescent="0.35">
      <c r="A10" s="6" t="s">
        <v>13</v>
      </c>
      <c r="B10" s="7">
        <v>1.6323529411764708</v>
      </c>
    </row>
    <row r="11" spans="1:5" x14ac:dyDescent="0.35">
      <c r="A11" s="6" t="s">
        <v>14</v>
      </c>
      <c r="B11" s="7">
        <v>1.4300970873786412</v>
      </c>
    </row>
    <row r="12" spans="1:5" x14ac:dyDescent="0.35">
      <c r="A12" s="6" t="s">
        <v>15</v>
      </c>
      <c r="B12" s="7">
        <v>1.530731707317073</v>
      </c>
    </row>
    <row r="15" spans="1:5" x14ac:dyDescent="0.35">
      <c r="A15" s="5" t="s">
        <v>12</v>
      </c>
      <c r="B15" t="s">
        <v>16</v>
      </c>
    </row>
    <row r="16" spans="1:5" x14ac:dyDescent="0.35">
      <c r="A16" s="6" t="s">
        <v>18</v>
      </c>
      <c r="B16" s="7">
        <v>69.655755790446463</v>
      </c>
    </row>
    <row r="17" spans="1:2" x14ac:dyDescent="0.35">
      <c r="A17" s="6" t="s">
        <v>19</v>
      </c>
      <c r="B17" s="7">
        <v>71.731811600374783</v>
      </c>
    </row>
    <row r="18" spans="1:2" x14ac:dyDescent="0.35">
      <c r="A18" s="6" t="s">
        <v>15</v>
      </c>
      <c r="B18" s="7">
        <v>70.850753768844228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2CE6-8642-42EC-83C1-25A480D6A900}">
  <dimension ref="C2:P8"/>
  <sheetViews>
    <sheetView workbookViewId="0">
      <selection activeCell="N8" sqref="N8"/>
    </sheetView>
  </sheetViews>
  <sheetFormatPr defaultRowHeight="14.5" x14ac:dyDescent="0.35"/>
  <sheetData>
    <row r="2" spans="3:16" ht="14.5" customHeight="1" x14ac:dyDescent="0.35">
      <c r="C2" s="8" t="s">
        <v>28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3:16" x14ac:dyDescent="0.35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6" spans="3:16" x14ac:dyDescent="0.35">
      <c r="C6" s="9" t="s">
        <v>29</v>
      </c>
      <c r="D6" s="9"/>
      <c r="F6" s="9" t="s">
        <v>30</v>
      </c>
      <c r="G6" s="9"/>
      <c r="H6" s="9"/>
      <c r="J6" s="9" t="s">
        <v>31</v>
      </c>
      <c r="K6" s="9"/>
      <c r="L6" s="9"/>
    </row>
    <row r="7" spans="3:16" x14ac:dyDescent="0.35">
      <c r="C7" s="10">
        <v>70.850753768844243</v>
      </c>
      <c r="D7" s="10"/>
      <c r="F7" s="11">
        <v>4</v>
      </c>
      <c r="G7" s="11"/>
      <c r="H7" s="11"/>
      <c r="J7" s="11">
        <v>2.6</v>
      </c>
      <c r="K7" s="11"/>
      <c r="L7" s="11"/>
    </row>
    <row r="8" spans="3:16" x14ac:dyDescent="0.35">
      <c r="C8" s="10"/>
      <c r="D8" s="10"/>
      <c r="F8" s="11"/>
      <c r="G8" s="11"/>
      <c r="H8" s="11"/>
      <c r="J8" s="11"/>
      <c r="K8" s="11"/>
      <c r="L8" s="11"/>
    </row>
  </sheetData>
  <mergeCells count="7">
    <mergeCell ref="C2:P3"/>
    <mergeCell ref="C6:D6"/>
    <mergeCell ref="C7:D8"/>
    <mergeCell ref="F6:H6"/>
    <mergeCell ref="F7:H8"/>
    <mergeCell ref="J6:L6"/>
    <mergeCell ref="J7:L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C88E-E844-47FD-848D-0F089B3EAFC2}">
  <dimension ref="B2:R6"/>
  <sheetViews>
    <sheetView tabSelected="1" workbookViewId="0">
      <selection activeCell="O9" sqref="O9"/>
    </sheetView>
  </sheetViews>
  <sheetFormatPr defaultRowHeight="14.5" x14ac:dyDescent="0.35"/>
  <sheetData>
    <row r="2" spans="2:18" x14ac:dyDescent="0.35">
      <c r="B2" s="12" t="s">
        <v>23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spans="2:18" x14ac:dyDescent="0.35">
      <c r="B3" s="15" t="s">
        <v>24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/>
    </row>
    <row r="4" spans="2:18" x14ac:dyDescent="0.35">
      <c r="B4" s="15" t="s">
        <v>25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</row>
    <row r="5" spans="2:18" x14ac:dyDescent="0.35">
      <c r="B5" s="15" t="s">
        <v>26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</row>
    <row r="6" spans="2:18" x14ac:dyDescent="0.35">
      <c r="B6" s="18" t="s">
        <v>27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student_screen_time_raw</vt:lpstr>
      <vt:lpstr>Pivot 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Akshintala</cp:lastModifiedBy>
  <dcterms:created xsi:type="dcterms:W3CDTF">2026-03-17T17:17:51Z</dcterms:created>
  <dcterms:modified xsi:type="dcterms:W3CDTF">2026-03-17T19:45:32Z</dcterms:modified>
</cp:coreProperties>
</file>