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https://d.docs.live.net/bb971bd4087d3faf/Documents/"/>
    </mc:Choice>
  </mc:AlternateContent>
  <xr:revisionPtr revIDLastSave="370" documentId="8_{3E198117-FD00-4FD5-8FF2-2D369B86703C}" xr6:coauthVersionLast="47" xr6:coauthVersionMax="47" xr10:uidLastSave="{4C0B9DFF-89DA-4F68-A289-85CA8AF754DD}"/>
  <bookViews>
    <workbookView xWindow="-110" yWindow="-110" windowWidth="19420" windowHeight="10300" firstSheet="3" activeTab="5" xr2:uid="{BED8DBBB-8DE5-4597-85D5-892B21D8983B}"/>
  </bookViews>
  <sheets>
    <sheet name="Child_Health_Data" sheetId="2" r:id="rId1"/>
    <sheet name="Health Status by Age Group" sheetId="3" r:id="rId2"/>
    <sheet name="Nutrition Intake vs BMI" sheetId="5" r:id="rId3"/>
    <sheet name="Sugar Screen Analysis" sheetId="6" r:id="rId4"/>
    <sheet name="Regional comparison" sheetId="7" r:id="rId5"/>
    <sheet name="Dashboard" sheetId="8" r:id="rId6"/>
  </sheets>
  <definedNames>
    <definedName name="ExternalData_1" localSheetId="0" hidden="1">'Child_Health_Data'!$A$1:$J$101</definedName>
    <definedName name="Slicer_Daily_Fruit_Servings">#N/A</definedName>
    <definedName name="Slicer_Daily_Veggie_Servings">#N/A</definedName>
    <definedName name="Slicer_Region">#N/A</definedName>
  </definedNames>
  <calcPr calcId="191029" calcCompleted="0"/>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2" l="1"/>
  <c r="K3" i="2"/>
  <c r="K4" i="2"/>
  <c r="L4" i="2" s="1"/>
  <c r="K5" i="2"/>
  <c r="K6" i="2"/>
  <c r="L6" i="2" s="1"/>
  <c r="K7" i="2"/>
  <c r="L7" i="2" s="1"/>
  <c r="K8" i="2"/>
  <c r="K9" i="2"/>
  <c r="K10" i="2"/>
  <c r="K11" i="2"/>
  <c r="K12" i="2"/>
  <c r="K13" i="2"/>
  <c r="K14" i="2"/>
  <c r="L14" i="2" s="1"/>
  <c r="K15" i="2"/>
  <c r="L15" i="2" s="1"/>
  <c r="K16" i="2"/>
  <c r="K17" i="2"/>
  <c r="K18" i="2"/>
  <c r="K19" i="2"/>
  <c r="L19" i="2" s="1"/>
  <c r="K20" i="2"/>
  <c r="K21" i="2"/>
  <c r="K22" i="2"/>
  <c r="L22" i="2" s="1"/>
  <c r="K23" i="2"/>
  <c r="L23" i="2" s="1"/>
  <c r="K24" i="2"/>
  <c r="K25" i="2"/>
  <c r="K26" i="2"/>
  <c r="K27" i="2"/>
  <c r="K28" i="2"/>
  <c r="L28" i="2" s="1"/>
  <c r="K29" i="2"/>
  <c r="K30" i="2"/>
  <c r="L30" i="2" s="1"/>
  <c r="K31" i="2"/>
  <c r="K32" i="2"/>
  <c r="K33" i="2"/>
  <c r="K34" i="2"/>
  <c r="K35" i="2"/>
  <c r="K36" i="2"/>
  <c r="K37" i="2"/>
  <c r="K38" i="2"/>
  <c r="L38" i="2" s="1"/>
  <c r="K39" i="2"/>
  <c r="K40" i="2"/>
  <c r="K41" i="2"/>
  <c r="K42" i="2"/>
  <c r="K43" i="2"/>
  <c r="L43" i="2" s="1"/>
  <c r="K44" i="2"/>
  <c r="L44" i="2" s="1"/>
  <c r="K45" i="2"/>
  <c r="K46" i="2"/>
  <c r="L46" i="2" s="1"/>
  <c r="K47" i="2"/>
  <c r="L47" i="2" s="1"/>
  <c r="K48" i="2"/>
  <c r="K49" i="2"/>
  <c r="K50" i="2"/>
  <c r="K51" i="2"/>
  <c r="L51" i="2" s="1"/>
  <c r="K52" i="2"/>
  <c r="L52" i="2" s="1"/>
  <c r="K53" i="2"/>
  <c r="K54" i="2"/>
  <c r="L54" i="2" s="1"/>
  <c r="K55" i="2"/>
  <c r="L55" i="2" s="1"/>
  <c r="K56" i="2"/>
  <c r="K57" i="2"/>
  <c r="K58" i="2"/>
  <c r="K59" i="2"/>
  <c r="L59" i="2" s="1"/>
  <c r="K60" i="2"/>
  <c r="L60" i="2" s="1"/>
  <c r="K61" i="2"/>
  <c r="K62" i="2"/>
  <c r="L62" i="2" s="1"/>
  <c r="K63" i="2"/>
  <c r="L63" i="2" s="1"/>
  <c r="K64" i="2"/>
  <c r="K65" i="2"/>
  <c r="K66" i="2"/>
  <c r="K67" i="2"/>
  <c r="K68" i="2"/>
  <c r="L68" i="2" s="1"/>
  <c r="K69" i="2"/>
  <c r="K70" i="2"/>
  <c r="L70" i="2" s="1"/>
  <c r="K71" i="2"/>
  <c r="L71" i="2" s="1"/>
  <c r="K72" i="2"/>
  <c r="K73" i="2"/>
  <c r="K74" i="2"/>
  <c r="K75" i="2"/>
  <c r="K76" i="2"/>
  <c r="K77" i="2"/>
  <c r="K78" i="2"/>
  <c r="L78" i="2" s="1"/>
  <c r="K79" i="2"/>
  <c r="L79" i="2" s="1"/>
  <c r="K80" i="2"/>
  <c r="L80" i="2" s="1"/>
  <c r="K81" i="2"/>
  <c r="K82" i="2"/>
  <c r="K83" i="2"/>
  <c r="K84" i="2"/>
  <c r="L84" i="2" s="1"/>
  <c r="K85" i="2"/>
  <c r="K86" i="2"/>
  <c r="L86" i="2" s="1"/>
  <c r="K87" i="2"/>
  <c r="K88" i="2"/>
  <c r="L88" i="2" s="1"/>
  <c r="K89" i="2"/>
  <c r="K90" i="2"/>
  <c r="K91" i="2"/>
  <c r="L91" i="2" s="1"/>
  <c r="K92" i="2"/>
  <c r="L92" i="2" s="1"/>
  <c r="K93" i="2"/>
  <c r="K94" i="2"/>
  <c r="L94" i="2" s="1"/>
  <c r="K95" i="2"/>
  <c r="L95" i="2" s="1"/>
  <c r="K96" i="2"/>
  <c r="L96" i="2" s="1"/>
  <c r="K97" i="2"/>
  <c r="K98" i="2"/>
  <c r="K99" i="2"/>
  <c r="L99" i="2" s="1"/>
  <c r="K100" i="2"/>
  <c r="L100" i="2" s="1"/>
  <c r="K101" i="2"/>
  <c r="L2" i="2"/>
  <c r="L3" i="2"/>
  <c r="L5" i="2"/>
  <c r="L8" i="2"/>
  <c r="L9" i="2"/>
  <c r="L10" i="2"/>
  <c r="L11" i="2"/>
  <c r="L12" i="2"/>
  <c r="L13" i="2"/>
  <c r="L16" i="2"/>
  <c r="L17" i="2"/>
  <c r="L18" i="2"/>
  <c r="L20" i="2"/>
  <c r="L21" i="2"/>
  <c r="L24" i="2"/>
  <c r="L25" i="2"/>
  <c r="L26" i="2"/>
  <c r="L27" i="2"/>
  <c r="L29" i="2"/>
  <c r="L31" i="2"/>
  <c r="L32" i="2"/>
  <c r="L33" i="2"/>
  <c r="L34" i="2"/>
  <c r="L35" i="2"/>
  <c r="L36" i="2"/>
  <c r="L37" i="2"/>
  <c r="L39" i="2"/>
  <c r="L40" i="2"/>
  <c r="L41" i="2"/>
  <c r="L42" i="2"/>
  <c r="L45" i="2"/>
  <c r="L48" i="2"/>
  <c r="L49" i="2"/>
  <c r="L50" i="2"/>
  <c r="L53" i="2"/>
  <c r="L56" i="2"/>
  <c r="L57" i="2"/>
  <c r="L58" i="2"/>
  <c r="L61" i="2"/>
  <c r="L64" i="2"/>
  <c r="L65" i="2"/>
  <c r="L66" i="2"/>
  <c r="L67" i="2"/>
  <c r="L69" i="2"/>
  <c r="L72" i="2"/>
  <c r="L73" i="2"/>
  <c r="L74" i="2"/>
  <c r="L75" i="2"/>
  <c r="L76" i="2"/>
  <c r="L77" i="2"/>
  <c r="L81" i="2"/>
  <c r="L82" i="2"/>
  <c r="L83" i="2"/>
  <c r="L85" i="2"/>
  <c r="L87" i="2"/>
  <c r="L89" i="2"/>
  <c r="L90" i="2"/>
  <c r="L93" i="2"/>
  <c r="L97" i="2"/>
  <c r="L98" i="2"/>
  <c r="L101"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4" i="7" l="1"/>
  <c r="M4" i="7"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3C8EB0B-7E7E-4C5F-8CA3-C52C4C9A413A}" keepAlive="1" name="Query - Child_Health_Data" description="Connection to the 'Child_Health_Data' query in the workbook." type="5" refreshedVersion="8" background="1" saveData="1">
    <dbPr connection="Provider=Microsoft.Mashup.OleDb.1;Data Source=$Workbook$;Location=Child_Health_Data;Extended Properties=&quot;&quot;" command="SELECT * FROM [Child_Health_Data]"/>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<sst xmlns="http://schemas.openxmlformats.org/spreadsheetml/2006/main" count="362" uniqueCount="142">
  <si>
    <t>ChildID</t>
  </si>
  <si>
    <t>Age_Months</t>
  </si>
  <si>
    <t>Gender</t>
  </si>
  <si>
    <t>Height_cm</t>
  </si>
  <si>
    <t>Weight_kg</t>
  </si>
  <si>
    <t>Daily_Fruit_Servings</t>
  </si>
  <si>
    <t>Daily_Veggie_Servings</t>
  </si>
  <si>
    <t>Daily_Sugar_Drinks</t>
  </si>
  <si>
    <t>ScreenTime_Hours</t>
  </si>
  <si>
    <t>Region</t>
  </si>
  <si>
    <t>C001</t>
  </si>
  <si>
    <t>Female</t>
  </si>
  <si>
    <t>South</t>
  </si>
  <si>
    <t>C002</t>
  </si>
  <si>
    <t>Central</t>
  </si>
  <si>
    <t>C003</t>
  </si>
  <si>
    <t>C004</t>
  </si>
  <si>
    <t>C005</t>
  </si>
  <si>
    <t>C006</t>
  </si>
  <si>
    <t>Male</t>
  </si>
  <si>
    <t>East</t>
  </si>
  <si>
    <t>C007</t>
  </si>
  <si>
    <t>C008</t>
  </si>
  <si>
    <t>C009</t>
  </si>
  <si>
    <t>North</t>
  </si>
  <si>
    <t>C010</t>
  </si>
  <si>
    <t>C011</t>
  </si>
  <si>
    <t>West</t>
  </si>
  <si>
    <t>C012</t>
  </si>
  <si>
    <t>C013</t>
  </si>
  <si>
    <t>C014</t>
  </si>
  <si>
    <t>C015</t>
  </si>
  <si>
    <t>C016</t>
  </si>
  <si>
    <t>C017</t>
  </si>
  <si>
    <t>C018</t>
  </si>
  <si>
    <t>C019</t>
  </si>
  <si>
    <t>C020</t>
  </si>
  <si>
    <t>C021</t>
  </si>
  <si>
    <t>C022</t>
  </si>
  <si>
    <t>C023</t>
  </si>
  <si>
    <t>C024</t>
  </si>
  <si>
    <t>C025</t>
  </si>
  <si>
    <t>C026</t>
  </si>
  <si>
    <t>C027</t>
  </si>
  <si>
    <t>C028</t>
  </si>
  <si>
    <t>C029</t>
  </si>
  <si>
    <t>C030</t>
  </si>
  <si>
    <t>C031</t>
  </si>
  <si>
    <t>C032</t>
  </si>
  <si>
    <t>C033</t>
  </si>
  <si>
    <t>C034</t>
  </si>
  <si>
    <t>C035</t>
  </si>
  <si>
    <t>C036</t>
  </si>
  <si>
    <t>C037</t>
  </si>
  <si>
    <t>C038</t>
  </si>
  <si>
    <t>C039</t>
  </si>
  <si>
    <t>C040</t>
  </si>
  <si>
    <t>C041</t>
  </si>
  <si>
    <t>C042</t>
  </si>
  <si>
    <t>C043</t>
  </si>
  <si>
    <t>C044</t>
  </si>
  <si>
    <t>C045</t>
  </si>
  <si>
    <t>C046</t>
  </si>
  <si>
    <t>C047</t>
  </si>
  <si>
    <t>C048</t>
  </si>
  <si>
    <t>C049</t>
  </si>
  <si>
    <t>C050</t>
  </si>
  <si>
    <t>C051</t>
  </si>
  <si>
    <t>C052</t>
  </si>
  <si>
    <t>C053</t>
  </si>
  <si>
    <t>C054</t>
  </si>
  <si>
    <t>C055</t>
  </si>
  <si>
    <t>C056</t>
  </si>
  <si>
    <t>C057</t>
  </si>
  <si>
    <t>C058</t>
  </si>
  <si>
    <t>C059</t>
  </si>
  <si>
    <t>C060</t>
  </si>
  <si>
    <t>C061</t>
  </si>
  <si>
    <t>C062</t>
  </si>
  <si>
    <t>C063</t>
  </si>
  <si>
    <t>C064</t>
  </si>
  <si>
    <t>C065</t>
  </si>
  <si>
    <t>C066</t>
  </si>
  <si>
    <t>C067</t>
  </si>
  <si>
    <t>C068</t>
  </si>
  <si>
    <t>C069</t>
  </si>
  <si>
    <t>C070</t>
  </si>
  <si>
    <t>C071</t>
  </si>
  <si>
    <t>C072</t>
  </si>
  <si>
    <t>C073</t>
  </si>
  <si>
    <t>C074</t>
  </si>
  <si>
    <t>C075</t>
  </si>
  <si>
    <t>C076</t>
  </si>
  <si>
    <t>C077</t>
  </si>
  <si>
    <t>C078</t>
  </si>
  <si>
    <t>C079</t>
  </si>
  <si>
    <t>C080</t>
  </si>
  <si>
    <t>C081</t>
  </si>
  <si>
    <t>C082</t>
  </si>
  <si>
    <t>C083</t>
  </si>
  <si>
    <t>C084</t>
  </si>
  <si>
    <t>C085</t>
  </si>
  <si>
    <t>C086</t>
  </si>
  <si>
    <t>C087</t>
  </si>
  <si>
    <t>C088</t>
  </si>
  <si>
    <t>C089</t>
  </si>
  <si>
    <t>C090</t>
  </si>
  <si>
    <t>C091</t>
  </si>
  <si>
    <t>C092</t>
  </si>
  <si>
    <t>C093</t>
  </si>
  <si>
    <t>C094</t>
  </si>
  <si>
    <t>C095</t>
  </si>
  <si>
    <t>C096</t>
  </si>
  <si>
    <t>C097</t>
  </si>
  <si>
    <t>C098</t>
  </si>
  <si>
    <t>C099</t>
  </si>
  <si>
    <t>C100</t>
  </si>
  <si>
    <t>BMI</t>
  </si>
  <si>
    <t>Health Status</t>
  </si>
  <si>
    <t>Age Group</t>
  </si>
  <si>
    <t>Count of ChildID</t>
  </si>
  <si>
    <t>Column Labels</t>
  </si>
  <si>
    <t>Healthy Weight</t>
  </si>
  <si>
    <t>Underweight</t>
  </si>
  <si>
    <t>Grand Total</t>
  </si>
  <si>
    <t>Row Labels</t>
  </si>
  <si>
    <t>25-36 months</t>
  </si>
  <si>
    <t>37-48 months</t>
  </si>
  <si>
    <t>49-60 months</t>
  </si>
  <si>
    <t>Average of BMI</t>
  </si>
  <si>
    <t>Average of ScreenTime_Hours</t>
  </si>
  <si>
    <t>Average of Daily_Sugar_Drinks</t>
  </si>
  <si>
    <t>Average of Daily_Veggie_Servings</t>
  </si>
  <si>
    <t>Regional Comaprison : BMI and Frusit Servings</t>
  </si>
  <si>
    <t>Conditional Formatting applied | Green = Lowest, Red = Highest</t>
  </si>
  <si>
    <t>Health Status distribution by Age Group</t>
  </si>
  <si>
    <t>Sugar &amp; Screen time by Health Status</t>
  </si>
  <si>
    <t>Healthy kids - Nutrition &amp; Growth Analysis dashboard</t>
  </si>
  <si>
    <t>Total Children</t>
  </si>
  <si>
    <t>Average BMI</t>
  </si>
  <si>
    <t>Healthy weight %</t>
  </si>
  <si>
    <t>Obese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</si>
</sst>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Trebuchet MS"/>
      <family val="2"/>
      <scheme val="minor"/>
    </font>
    <font>
      <sz val="18"/>
      <color theme="2"/>
      <name val="Trebuchet MS"/>
      <family val="2"/>
      <scheme val="minor"/>
    </font>
    <font>
      <sz val="18"/>
      <color rgb="FFFF0000"/>
      <name val="Trebuchet MS"/>
      <family val="2"/>
      <scheme val="minor"/>
    </font>
    <font>
      <sz val="16"/>
      <color theme="5" tint="-0.249977111117893"/>
      <name val="Trebuchet MS"/>
      <family val="2"/>
      <scheme val="minor"/>
    </font>
    <font>
      <sz val="24"/>
      <color rgb="FF00B050"/>
      <name val="Trebuchet MS"/>
      <family val="2"/>
      <scheme val="minor"/>
    </font>
    <font>
      <sz val="11"/>
      <color rgb="FF00B050"/>
      <name val="Trebuchet MS"/>
      <family val="2"/>
      <scheme val="minor"/>
    </font>
  </fonts>
  <fills count="8">
    <fill>
      <patternFill patternType="none"/>
    </fill>
    <fill>
      <patternFill patternType="gray125"/>
    </fill>
    <fill>
      <patternFill patternType="solid">
        <fgColor theme="1"/>
        <bgColor indexed="64"/>
      </patternFill>
    </fill>
    <fill>
      <patternFill patternType="solid">
        <fgColor theme="2" tint="-9.9978637043366805E-2"/>
        <bgColor indexed="64"/>
      </patternFill>
    </fill>
    <fill>
      <patternFill patternType="solid">
        <fgColor theme="3" tint="0.749992370372631"/>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9" tint="0.59999389629810485"/>
        <bgColor indexed="64"/>
      </patternFill>
    </fill>
  </fills>
  <borders count="1">
    <border>
      <left/>
      <right/>
      <top/>
      <bottom/>
      <diagonal/>
    </border>
  </borders>
  <cellStyleXfs count="1">
    <xf numFmtId="0" fontId="0" fillId="0" borderId="0"/>
  </cellStyleXfs>
  <cellXfs count="20">
    <xf numFmtId="0" fontId="0" fillId="0" borderId="0" xfId="0"/>
    <xf numFmtId="2"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4" fillId="2" borderId="0" xfId="0" applyFont="1" applyFill="1" applyAlignment="1">
      <alignment horizontal="center"/>
    </xf>
    <xf numFmtId="0" fontId="5" fillId="2" borderId="0" xfId="0" applyFont="1" applyFill="1" applyAlignment="1">
      <alignment horizontal="center"/>
    </xf>
    <xf numFmtId="0" fontId="0" fillId="4" borderId="0" xfId="0" applyFill="1" applyAlignment="1">
      <alignment horizontal="center"/>
    </xf>
    <xf numFmtId="0" fontId="0" fillId="0" borderId="0" xfId="0" applyAlignment="1">
      <alignment horizontal="center" vertical="center"/>
    </xf>
    <xf numFmtId="0" fontId="0" fillId="5" borderId="0" xfId="0" applyFill="1" applyAlignment="1">
      <alignment horizontal="center"/>
    </xf>
    <xf numFmtId="0" fontId="0" fillId="6" borderId="0" xfId="0" applyFill="1" applyAlignment="1">
      <alignment horizontal="center"/>
    </xf>
    <xf numFmtId="10" fontId="0" fillId="0" borderId="0" xfId="0" applyNumberFormat="1" applyAlignment="1">
      <alignment horizontal="center" vertical="center"/>
    </xf>
    <xf numFmtId="0" fontId="0" fillId="7" borderId="0" xfId="0" applyFill="1" applyAlignment="1">
      <alignment horizontal="center"/>
    </xf>
    <xf numFmtId="9" fontId="0" fillId="0" borderId="0" xfId="0" applyNumberFormat="1" applyAlignment="1">
      <alignment horizontal="center" vertical="center"/>
    </xf>
    <xf numFmtId="0" fontId="2" fillId="0" borderId="0" xfId="0" applyFont="1" applyAlignment="1">
      <alignment horizontal="center"/>
    </xf>
    <xf numFmtId="0" fontId="0" fillId="0" borderId="0" xfId="0" applyAlignment="1">
      <alignment horizontal="center"/>
    </xf>
    <xf numFmtId="0" fontId="3" fillId="3" borderId="0" xfId="0" applyFont="1" applyFill="1" applyAlignment="1">
      <alignment horizontal="center"/>
    </xf>
    <xf numFmtId="0" fontId="0" fillId="3" borderId="0" xfId="0" applyFill="1" applyAlignment="1">
      <alignment horizontal="center"/>
    </xf>
    <xf numFmtId="0" fontId="1" fillId="2" borderId="0" xfId="0" applyFont="1" applyFill="1" applyAlignment="1">
      <alignment horizontal="center"/>
    </xf>
    <xf numFmtId="0" fontId="0" fillId="2" borderId="0" xfId="0" applyFill="1" applyAlignment="1">
      <alignment horizontal="center"/>
    </xf>
  </cellXfs>
  <cellStyles count="1">
    <cellStyle name="Normal" xfId="0" builtinId="0"/>
  </cellStyles>
  <dxfs count="11">
    <dxf>
      <numFmt numFmtId="164" formatCode="0.0"/>
    </dxf>
    <dxf>
      <numFmt numFmtId="2" formatCode="0.00"/>
    </dxf>
    <dxf>
      <numFmt numFmtId="2" formatCode="0.00"/>
    </dxf>
    <dxf>
      <numFmt numFmtId="2" formatCode="0.00"/>
    </dxf>
    <dxf>
      <numFmt numFmtId="2" formatCode="0.00"/>
    </dxf>
    <dxf>
      <numFmt numFmtId="0" formatCode="General"/>
    </dxf>
    <dxf>
      <numFmt numFmtId="0" formatCode="General"/>
    </dxf>
    <dxf>
      <numFmt numFmtId="2" formatCode="0.00"/>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[Day3_Child Health Data.xlsx]Health Status by Age Group!PivotTable4</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'Health Status by Age Group'!$B$3:$B$4</c:f>
              <c:strCache>
                <c:ptCount val="1"/>
                <c:pt idx="0">
                  <c:v>Healthy Weight</c:v>
                </c:pt>
              </c:strCache>
            </c:strRef>
          </c:tx>
          <c:spPr>
            <a:solidFill>
              <a:schemeClr val="accent1"/>
            </a:solidFill>
            <a:ln>
              <a:noFill/>
            </a:ln>
            <a:effectLst/>
          </c:spPr>
          <c:invertIfNegative val="0"/>
          <c:cat>
            <c:strRef>
              <c:f>'Health Status by Age Group'!$A$5:$A$8</c:f>
              <c:strCache>
                <c:ptCount val="3"/>
                <c:pt idx="0">
                  <c:v>25-36 months</c:v>
                </c:pt>
                <c:pt idx="1">
                  <c:v>37-48 months</c:v>
                </c:pt>
                <c:pt idx="2">
                  <c:v>49-60 months</c:v>
                </c:pt>
              </c:strCache>
            </c:strRef>
          </c:cat>
          <c:val>
            <c:numRef>
              <c:f>'Health Status by Age Group'!$B$5:$B$8</c:f>
              <c:numCache>
                <c:formatCode>General</c:formatCode>
                <c:ptCount val="3"/>
                <c:pt idx="0">
                  <c:v>6</c:v>
                </c:pt>
                <c:pt idx="1">
                  <c:v>8</c:v>
                </c:pt>
                <c:pt idx="2">
                  <c:v>10</c:v>
                </c:pt>
              </c:numCache>
            </c:numRef>
          </c:val>
          <c:extLst>
            <c:ext xmlns:c16="http://schemas.microsoft.com/office/drawing/2014/chart" uri="{C3380CC4-5D6E-409C-BE32-E72D297353CC}">
              <c16:uniqueId val="{00000000-A61C-489B-815A-FC6CF1D57BF6}"/>
            </c:ext>
          </c:extLst>
        </c:ser>
        <c:ser>
          <c:idx val="1"/>
          <c:order val="1"/>
          <c:tx>
            <c:strRef>
              <c:f>'Health Status by Age Group'!$C$3:$C$4</c:f>
              <c:strCache>
                <c:ptCount val="1"/>
                <c:pt idx="0">
                  <c:v>Underweight</c:v>
                </c:pt>
              </c:strCache>
            </c:strRef>
          </c:tx>
          <c:spPr>
            <a:solidFill>
              <a:schemeClr val="accent2"/>
            </a:solidFill>
            <a:ln>
              <a:noFill/>
            </a:ln>
            <a:effectLst/>
          </c:spPr>
          <c:invertIfNegative val="0"/>
          <c:cat>
            <c:strRef>
              <c:f>'Health Status by Age Group'!$A$5:$A$8</c:f>
              <c:strCache>
                <c:ptCount val="3"/>
                <c:pt idx="0">
                  <c:v>25-36 months</c:v>
                </c:pt>
                <c:pt idx="1">
                  <c:v>37-48 months</c:v>
                </c:pt>
                <c:pt idx="2">
                  <c:v>49-60 months</c:v>
                </c:pt>
              </c:strCache>
            </c:strRef>
          </c:cat>
          <c:val>
            <c:numRef>
              <c:f>'Health Status by Age Group'!$C$5:$C$8</c:f>
              <c:numCache>
                <c:formatCode>General</c:formatCode>
                <c:ptCount val="3"/>
                <c:pt idx="0">
                  <c:v>33</c:v>
                </c:pt>
                <c:pt idx="1">
                  <c:v>22</c:v>
                </c:pt>
                <c:pt idx="2">
                  <c:v>21</c:v>
                </c:pt>
              </c:numCache>
            </c:numRef>
          </c:val>
          <c:extLst>
            <c:ext xmlns:c16="http://schemas.microsoft.com/office/drawing/2014/chart" uri="{C3380CC4-5D6E-409C-BE32-E72D297353CC}">
              <c16:uniqueId val="{00000001-A61C-489B-815A-FC6CF1D57BF6}"/>
            </c:ext>
          </c:extLst>
        </c:ser>
        <c:dLbls>
          <c:showLegendKey val="0"/>
          <c:showVal val="0"/>
          <c:showCatName val="0"/>
          <c:showSerName val="0"/>
          <c:showPercent val="0"/>
          <c:showBubbleSize val="0"/>
        </c:dLbls>
        <c:gapWidth val="219"/>
        <c:overlap val="-27"/>
        <c:axId val="1486241535"/>
        <c:axId val="1486242015"/>
      </c:barChart>
      <c:catAx>
        <c:axId val="1486241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242015"/>
        <c:crosses val="autoZero"/>
        <c:auto val="1"/>
        <c:lblAlgn val="ctr"/>
        <c:lblOffset val="100"/>
        <c:noMultiLvlLbl val="0"/>
      </c:catAx>
      <c:valAx>
        <c:axId val="1486242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241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[Day3_Child Health Data.xlsx]Nutrition Intake vs BMI!PivotTable11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'Nutrition Intake vs BMI'!$N$23</c:f>
              <c:strCache>
                <c:ptCount val="1"/>
                <c:pt idx="0">
                  <c:v>Total</c:v>
                </c:pt>
              </c:strCache>
            </c:strRef>
          </c:tx>
          <c:spPr>
            <a:solidFill>
              <a:schemeClr val="accent1"/>
            </a:solidFill>
            <a:ln>
              <a:noFill/>
            </a:ln>
            <a:effectLst/>
          </c:spPr>
          <c:invertIfNegative val="0"/>
          <c:cat>
            <c:strRef>
              <c:f>'Nutrition Intake vs BMI'!$M$24:$M$29</c:f>
              <c:strCache>
                <c:ptCount val="5"/>
                <c:pt idx="0">
                  <c:v>Central</c:v>
                </c:pt>
                <c:pt idx="1">
                  <c:v>East</c:v>
                </c:pt>
                <c:pt idx="2">
                  <c:v>North</c:v>
                </c:pt>
                <c:pt idx="3">
                  <c:v>South</c:v>
                </c:pt>
                <c:pt idx="4">
                  <c:v>West</c:v>
                </c:pt>
              </c:strCache>
            </c:strRef>
          </c:cat>
          <c:val>
            <c:numRef>
              <c:f>'Nutrition Intake vs BMI'!$N$24:$N$29</c:f>
              <c:numCache>
                <c:formatCode>0.00</c:formatCode>
                <c:ptCount val="5"/>
                <c:pt idx="0">
                  <c:v>17.280514841003029</c:v>
                </c:pt>
                <c:pt idx="1">
                  <c:v>16.371172019628016</c:v>
                </c:pt>
                <c:pt idx="2">
                  <c:v>16.789441132947946</c:v>
                </c:pt>
                <c:pt idx="3">
                  <c:v>17.188810268120474</c:v>
                </c:pt>
                <c:pt idx="4">
                  <c:v>17.912368815419139</c:v>
                </c:pt>
              </c:numCache>
            </c:numRef>
          </c:val>
          <c:extLst>
            <c:ext xmlns:c16="http://schemas.microsoft.com/office/drawing/2014/chart" uri="{C3380CC4-5D6E-409C-BE32-E72D297353CC}">
              <c16:uniqueId val="{00000000-7FB1-4BA5-9C95-F6ABDF4155B9}"/>
            </c:ext>
          </c:extLst>
        </c:ser>
        <c:dLbls>
          <c:showLegendKey val="0"/>
          <c:showVal val="0"/>
          <c:showCatName val="0"/>
          <c:showSerName val="0"/>
          <c:showPercent val="0"/>
          <c:showBubbleSize val="0"/>
        </c:dLbls>
        <c:gapWidth val="182"/>
        <c:axId val="1974470975"/>
        <c:axId val="1974454655"/>
      </c:barChart>
      <c:catAx>
        <c:axId val="1974470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4454655"/>
        <c:crosses val="autoZero"/>
        <c:auto val="1"/>
        <c:lblAlgn val="ctr"/>
        <c:lblOffset val="100"/>
        <c:noMultiLvlLbl val="0"/>
      </c:catAx>
      <c:valAx>
        <c:axId val="197445465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4470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[Day3_Child Health Data.xlsx]Sugar Screen Analysis!PivotTable9</c:name>
    <c:fmtId val="1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'Sugar Screen Analysis'!$C$6</c:f>
              <c:strCache>
                <c:ptCount val="1"/>
                <c:pt idx="0">
                  <c:v>Average of Daily_Sugar_Drinks</c:v>
                </c:pt>
              </c:strCache>
            </c:strRef>
          </c:tx>
          <c:spPr>
            <a:solidFill>
              <a:schemeClr val="accent1"/>
            </a:solidFill>
            <a:ln>
              <a:noFill/>
            </a:ln>
            <a:effectLst/>
          </c:spPr>
          <c:invertIfNegative val="0"/>
          <c:cat>
            <c:strRef>
              <c:f>'Sugar Screen Analysis'!$B$7:$B$9</c:f>
              <c:strCache>
                <c:ptCount val="2"/>
                <c:pt idx="0">
                  <c:v>Healthy Weight</c:v>
                </c:pt>
                <c:pt idx="1">
                  <c:v>Underweight</c:v>
                </c:pt>
              </c:strCache>
            </c:strRef>
          </c:cat>
          <c:val>
            <c:numRef>
              <c:f>'Sugar Screen Analysis'!$C$7:$C$9</c:f>
              <c:numCache>
                <c:formatCode>0.00</c:formatCode>
                <c:ptCount val="2"/>
                <c:pt idx="0">
                  <c:v>1.5833333333333333</c:v>
                </c:pt>
                <c:pt idx="1">
                  <c:v>1.3026315789473684</c:v>
                </c:pt>
              </c:numCache>
            </c:numRef>
          </c:val>
          <c:extLst>
            <c:ext xmlns:c16="http://schemas.microsoft.com/office/drawing/2014/chart" uri="{C3380CC4-5D6E-409C-BE32-E72D297353CC}">
              <c16:uniqueId val="{00000000-B2D2-4DFC-AA8A-AD00A1261AC6}"/>
            </c:ext>
          </c:extLst>
        </c:ser>
        <c:ser>
          <c:idx val="1"/>
          <c:order val="1"/>
          <c:tx>
            <c:strRef>
              <c:f>'Sugar Screen Analysis'!$D$6</c:f>
              <c:strCache>
                <c:ptCount val="1"/>
                <c:pt idx="0">
                  <c:v>Average of ScreenTime_Hours</c:v>
                </c:pt>
              </c:strCache>
            </c:strRef>
          </c:tx>
          <c:spPr>
            <a:solidFill>
              <a:schemeClr val="accent2"/>
            </a:solidFill>
            <a:ln>
              <a:noFill/>
            </a:ln>
            <a:effectLst/>
          </c:spPr>
          <c:invertIfNegative val="0"/>
          <c:cat>
            <c:strRef>
              <c:f>'Sugar Screen Analysis'!$B$7:$B$9</c:f>
              <c:strCache>
                <c:ptCount val="2"/>
                <c:pt idx="0">
                  <c:v>Healthy Weight</c:v>
                </c:pt>
                <c:pt idx="1">
                  <c:v>Underweight</c:v>
                </c:pt>
              </c:strCache>
            </c:strRef>
          </c:cat>
          <c:val>
            <c:numRef>
              <c:f>'Sugar Screen Analysis'!$D$7:$D$9</c:f>
              <c:numCache>
                <c:formatCode>0.00</c:formatCode>
                <c:ptCount val="2"/>
                <c:pt idx="0">
                  <c:v>1.6875000000000002</c:v>
                </c:pt>
                <c:pt idx="1">
                  <c:v>1.2986842105263157</c:v>
                </c:pt>
              </c:numCache>
            </c:numRef>
          </c:val>
          <c:extLst>
            <c:ext xmlns:c16="http://schemas.microsoft.com/office/drawing/2014/chart" uri="{C3380CC4-5D6E-409C-BE32-E72D297353CC}">
              <c16:uniqueId val="{00000001-B2D2-4DFC-AA8A-AD00A1261AC6}"/>
            </c:ext>
          </c:extLst>
        </c:ser>
        <c:dLbls>
          <c:showLegendKey val="0"/>
          <c:showVal val="0"/>
          <c:showCatName val="0"/>
          <c:showSerName val="0"/>
          <c:showPercent val="0"/>
          <c:showBubbleSize val="0"/>
        </c:dLbls>
        <c:gapWidth val="182"/>
        <c:axId val="1589546991"/>
        <c:axId val="1589494671"/>
      </c:barChart>
      <c:catAx>
        <c:axId val="15895469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494671"/>
        <c:crosses val="autoZero"/>
        <c:auto val="1"/>
        <c:lblAlgn val="ctr"/>
        <c:lblOffset val="100"/>
        <c:noMultiLvlLbl val="0"/>
      </c:catAx>
      <c:valAx>
        <c:axId val="158949467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546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[Day3_Child Health Data.xlsx]Regional comparison!PivotTable10</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'Regional comparison'!$B$3</c:f>
              <c:strCache>
                <c:ptCount val="1"/>
                <c:pt idx="0">
                  <c:v>Average of BMI</c:v>
                </c:pt>
              </c:strCache>
            </c:strRef>
          </c:tx>
          <c:spPr>
            <a:solidFill>
              <a:schemeClr val="accent1"/>
            </a:solidFill>
            <a:ln>
              <a:noFill/>
            </a:ln>
            <a:effectLst/>
          </c:spPr>
          <c:invertIfNegative val="0"/>
          <c:cat>
            <c:strRef>
              <c:f>'Regional comparison'!$A$4:$A$9</c:f>
              <c:strCache>
                <c:ptCount val="5"/>
                <c:pt idx="0">
                  <c:v>Central</c:v>
                </c:pt>
                <c:pt idx="1">
                  <c:v>East</c:v>
                </c:pt>
                <c:pt idx="2">
                  <c:v>North</c:v>
                </c:pt>
                <c:pt idx="3">
                  <c:v>South</c:v>
                </c:pt>
                <c:pt idx="4">
                  <c:v>West</c:v>
                </c:pt>
              </c:strCache>
            </c:strRef>
          </c:cat>
          <c:val>
            <c:numRef>
              <c:f>'Regional comparison'!$B$4:$B$9</c:f>
              <c:numCache>
                <c:formatCode>0.00</c:formatCode>
                <c:ptCount val="5"/>
                <c:pt idx="0">
                  <c:v>17.280514841003029</c:v>
                </c:pt>
                <c:pt idx="1">
                  <c:v>16.371172019628016</c:v>
                </c:pt>
                <c:pt idx="2">
                  <c:v>16.789441132947946</c:v>
                </c:pt>
                <c:pt idx="3">
                  <c:v>17.188810268120474</c:v>
                </c:pt>
                <c:pt idx="4">
                  <c:v>17.912368815419139</c:v>
                </c:pt>
              </c:numCache>
            </c:numRef>
          </c:val>
          <c:extLst>
            <c:ext xmlns:c16="http://schemas.microsoft.com/office/drawing/2014/chart" uri="{C3380CC4-5D6E-409C-BE32-E72D297353CC}">
              <c16:uniqueId val="{00000000-3CFD-4BE7-ABB5-9952E4878A32}"/>
            </c:ext>
          </c:extLst>
        </c:ser>
        <c:ser>
          <c:idx val="1"/>
          <c:order val="1"/>
          <c:tx>
            <c:strRef>
              <c:f>'Regional comparison'!$C$3</c:f>
              <c:strCache>
                <c:ptCount val="1"/>
                <c:pt idx="0">
                  <c:v>Average of ScreenTime_Hours</c:v>
                </c:pt>
              </c:strCache>
            </c:strRef>
          </c:tx>
          <c:spPr>
            <a:solidFill>
              <a:schemeClr val="accent2"/>
            </a:solidFill>
            <a:ln>
              <a:noFill/>
            </a:ln>
            <a:effectLst/>
          </c:spPr>
          <c:invertIfNegative val="0"/>
          <c:cat>
            <c:strRef>
              <c:f>'Regional comparison'!$A$4:$A$9</c:f>
              <c:strCache>
                <c:ptCount val="5"/>
                <c:pt idx="0">
                  <c:v>Central</c:v>
                </c:pt>
                <c:pt idx="1">
                  <c:v>East</c:v>
                </c:pt>
                <c:pt idx="2">
                  <c:v>North</c:v>
                </c:pt>
                <c:pt idx="3">
                  <c:v>South</c:v>
                </c:pt>
                <c:pt idx="4">
                  <c:v>West</c:v>
                </c:pt>
              </c:strCache>
            </c:strRef>
          </c:cat>
          <c:val>
            <c:numRef>
              <c:f>'Regional comparison'!$C$4:$C$9</c:f>
              <c:numCache>
                <c:formatCode>0.00</c:formatCode>
                <c:ptCount val="5"/>
                <c:pt idx="0">
                  <c:v>1.529166666666667</c:v>
                </c:pt>
                <c:pt idx="1">
                  <c:v>1.4238095238095241</c:v>
                </c:pt>
                <c:pt idx="2">
                  <c:v>1.1882352941176471</c:v>
                </c:pt>
                <c:pt idx="3">
                  <c:v>1.3923076923076925</c:v>
                </c:pt>
                <c:pt idx="4">
                  <c:v>1.3499999999999999</c:v>
                </c:pt>
              </c:numCache>
            </c:numRef>
          </c:val>
          <c:extLst>
            <c:ext xmlns:c16="http://schemas.microsoft.com/office/drawing/2014/chart" uri="{C3380CC4-5D6E-409C-BE32-E72D297353CC}">
              <c16:uniqueId val="{00000001-3CFD-4BE7-ABB5-9952E4878A32}"/>
            </c:ext>
          </c:extLst>
        </c:ser>
        <c:ser>
          <c:idx val="2"/>
          <c:order val="2"/>
          <c:tx>
            <c:strRef>
              <c:f>'Regional comparison'!$D$3</c:f>
              <c:strCache>
                <c:ptCount val="1"/>
                <c:pt idx="0">
                  <c:v>Average of Daily_Sugar_Drinks</c:v>
                </c:pt>
              </c:strCache>
            </c:strRef>
          </c:tx>
          <c:spPr>
            <a:solidFill>
              <a:schemeClr val="accent3"/>
            </a:solidFill>
            <a:ln>
              <a:noFill/>
            </a:ln>
            <a:effectLst/>
          </c:spPr>
          <c:invertIfNegative val="0"/>
          <c:cat>
            <c:strRef>
              <c:f>'Regional comparison'!$A$4:$A$9</c:f>
              <c:strCache>
                <c:ptCount val="5"/>
                <c:pt idx="0">
                  <c:v>Central</c:v>
                </c:pt>
                <c:pt idx="1">
                  <c:v>East</c:v>
                </c:pt>
                <c:pt idx="2">
                  <c:v>North</c:v>
                </c:pt>
                <c:pt idx="3">
                  <c:v>South</c:v>
                </c:pt>
                <c:pt idx="4">
                  <c:v>West</c:v>
                </c:pt>
              </c:strCache>
            </c:strRef>
          </c:cat>
          <c:val>
            <c:numRef>
              <c:f>'Regional comparison'!$D$4:$D$9</c:f>
              <c:numCache>
                <c:formatCode>0.00</c:formatCode>
                <c:ptCount val="5"/>
                <c:pt idx="0">
                  <c:v>1.5</c:v>
                </c:pt>
                <c:pt idx="1">
                  <c:v>1.5714285714285714</c:v>
                </c:pt>
                <c:pt idx="2">
                  <c:v>1.3529411764705883</c:v>
                </c:pt>
                <c:pt idx="3">
                  <c:v>1.1923076923076923</c:v>
                </c:pt>
                <c:pt idx="4">
                  <c:v>1.1666666666666667</c:v>
                </c:pt>
              </c:numCache>
            </c:numRef>
          </c:val>
          <c:extLst>
            <c:ext xmlns:c16="http://schemas.microsoft.com/office/drawing/2014/chart" uri="{C3380CC4-5D6E-409C-BE32-E72D297353CC}">
              <c16:uniqueId val="{00000002-3CFD-4BE7-ABB5-9952E4878A32}"/>
            </c:ext>
          </c:extLst>
        </c:ser>
        <c:ser>
          <c:idx val="3"/>
          <c:order val="3"/>
          <c:tx>
            <c:strRef>
              <c:f>'Regional comparison'!$E$3</c:f>
              <c:strCache>
                <c:ptCount val="1"/>
                <c:pt idx="0">
                  <c:v>Average of Daily_Veggie_Servings</c:v>
                </c:pt>
              </c:strCache>
            </c:strRef>
          </c:tx>
          <c:spPr>
            <a:solidFill>
              <a:schemeClr val="accent4"/>
            </a:solidFill>
            <a:ln>
              <a:noFill/>
            </a:ln>
            <a:effectLst/>
          </c:spPr>
          <c:invertIfNegative val="0"/>
          <c:cat>
            <c:strRef>
              <c:f>'Regional comparison'!$A$4:$A$9</c:f>
              <c:strCache>
                <c:ptCount val="5"/>
                <c:pt idx="0">
                  <c:v>Central</c:v>
                </c:pt>
                <c:pt idx="1">
                  <c:v>East</c:v>
                </c:pt>
                <c:pt idx="2">
                  <c:v>North</c:v>
                </c:pt>
                <c:pt idx="3">
                  <c:v>South</c:v>
                </c:pt>
                <c:pt idx="4">
                  <c:v>West</c:v>
                </c:pt>
              </c:strCache>
            </c:strRef>
          </c:cat>
          <c:val>
            <c:numRef>
              <c:f>'Regional comparison'!$E$4:$E$9</c:f>
              <c:numCache>
                <c:formatCode>General</c:formatCode>
                <c:ptCount val="5"/>
                <c:pt idx="0">
                  <c:v>2</c:v>
                </c:pt>
                <c:pt idx="1">
                  <c:v>1.9047619047619047</c:v>
                </c:pt>
                <c:pt idx="2">
                  <c:v>1.3529411764705883</c:v>
                </c:pt>
                <c:pt idx="3">
                  <c:v>2.0769230769230771</c:v>
                </c:pt>
                <c:pt idx="4">
                  <c:v>2.0833333333333335</c:v>
                </c:pt>
              </c:numCache>
            </c:numRef>
          </c:val>
          <c:extLst>
            <c:ext xmlns:c16="http://schemas.microsoft.com/office/drawing/2014/chart" uri="{C3380CC4-5D6E-409C-BE32-E72D297353CC}">
              <c16:uniqueId val="{00000003-3CFD-4BE7-ABB5-9952E4878A32}"/>
            </c:ext>
          </c:extLst>
        </c:ser>
        <c:dLbls>
          <c:showLegendKey val="0"/>
          <c:showVal val="0"/>
          <c:showCatName val="0"/>
          <c:showSerName val="0"/>
          <c:showPercent val="0"/>
          <c:showBubbleSize val="0"/>
        </c:dLbls>
        <c:gapWidth val="182"/>
        <c:axId val="1521257839"/>
        <c:axId val="1521260239"/>
      </c:barChart>
      <c:catAx>
        <c:axId val="1521257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260239"/>
        <c:crosses val="autoZero"/>
        <c:auto val="1"/>
        <c:lblAlgn val="ctr"/>
        <c:lblOffset val="100"/>
        <c:noMultiLvlLbl val="0"/>
      </c:catAx>
      <c:valAx>
        <c:axId val="152126023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257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[Day3_Child Health Data.xlsx]Regional comparison!PivotTable10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rgbClr val="00B050"/>
                </a:solidFill>
              </a:rPr>
              <a:t>Regional</a:t>
            </a:r>
            <a:r>
              <a:rPr lang="en-IN" baseline="0">
                <a:solidFill>
                  <a:srgbClr val="00B050"/>
                </a:solidFill>
              </a:rPr>
              <a:t> Comparison</a:t>
            </a:r>
            <a:endParaRPr lang="en-IN">
              <a:solidFill>
                <a:srgbClr val="00B050"/>
              </a:solidFill>
            </a:endParaRPr>
          </a:p>
        </c:rich>
      </c:tx>
      <c:layout>
        <c:manualLayout>
          <c:xMode val="edge"/>
          <c:yMode val="edge"/>
          <c:x val="0.26349120433017598"/>
          <c:y val="7.54890997336899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'Regional comparison'!$B$3</c:f>
              <c:strCache>
                <c:ptCount val="1"/>
                <c:pt idx="0">
                  <c:v>Average of BMI</c:v>
                </c:pt>
              </c:strCache>
            </c:strRef>
          </c:tx>
          <c:spPr>
            <a:solidFill>
              <a:schemeClr val="accent1"/>
            </a:solidFill>
            <a:ln>
              <a:noFill/>
            </a:ln>
            <a:effectLst/>
          </c:spPr>
          <c:invertIfNegative val="0"/>
          <c:cat>
            <c:strRef>
              <c:f>'Regional comparison'!$A$4:$A$9</c:f>
              <c:strCache>
                <c:ptCount val="5"/>
                <c:pt idx="0">
                  <c:v>Central</c:v>
                </c:pt>
                <c:pt idx="1">
                  <c:v>East</c:v>
                </c:pt>
                <c:pt idx="2">
                  <c:v>North</c:v>
                </c:pt>
                <c:pt idx="3">
                  <c:v>South</c:v>
                </c:pt>
                <c:pt idx="4">
                  <c:v>West</c:v>
                </c:pt>
              </c:strCache>
            </c:strRef>
          </c:cat>
          <c:val>
            <c:numRef>
              <c:f>'Regional comparison'!$B$4:$B$9</c:f>
              <c:numCache>
                <c:formatCode>0.00</c:formatCode>
                <c:ptCount val="5"/>
                <c:pt idx="0">
                  <c:v>17.280514841003029</c:v>
                </c:pt>
                <c:pt idx="1">
                  <c:v>16.371172019628016</c:v>
                </c:pt>
                <c:pt idx="2">
                  <c:v>16.789441132947946</c:v>
                </c:pt>
                <c:pt idx="3">
                  <c:v>17.188810268120474</c:v>
                </c:pt>
                <c:pt idx="4">
                  <c:v>17.912368815419139</c:v>
                </c:pt>
              </c:numCache>
            </c:numRef>
          </c:val>
          <c:extLst>
            <c:ext xmlns:c16="http://schemas.microsoft.com/office/drawing/2014/chart" uri="{C3380CC4-5D6E-409C-BE32-E72D297353CC}">
              <c16:uniqueId val="{00000000-CE17-4D01-A423-DEAAC5A075A3}"/>
            </c:ext>
          </c:extLst>
        </c:ser>
        <c:ser>
          <c:idx val="1"/>
          <c:order val="1"/>
          <c:tx>
            <c:strRef>
              <c:f>'Regional comparison'!$C$3</c:f>
              <c:strCache>
                <c:ptCount val="1"/>
                <c:pt idx="0">
                  <c:v>Average of ScreenTime_Hours</c:v>
                </c:pt>
              </c:strCache>
            </c:strRef>
          </c:tx>
          <c:spPr>
            <a:solidFill>
              <a:schemeClr val="accent2"/>
            </a:solidFill>
            <a:ln>
              <a:noFill/>
            </a:ln>
            <a:effectLst/>
          </c:spPr>
          <c:invertIfNegative val="0"/>
          <c:cat>
            <c:strRef>
              <c:f>'Regional comparison'!$A$4:$A$9</c:f>
              <c:strCache>
                <c:ptCount val="5"/>
                <c:pt idx="0">
                  <c:v>Central</c:v>
                </c:pt>
                <c:pt idx="1">
                  <c:v>East</c:v>
                </c:pt>
                <c:pt idx="2">
                  <c:v>North</c:v>
                </c:pt>
                <c:pt idx="3">
                  <c:v>South</c:v>
                </c:pt>
                <c:pt idx="4">
                  <c:v>West</c:v>
                </c:pt>
              </c:strCache>
            </c:strRef>
          </c:cat>
          <c:val>
            <c:numRef>
              <c:f>'Regional comparison'!$C$4:$C$9</c:f>
              <c:numCache>
                <c:formatCode>0.00</c:formatCode>
                <c:ptCount val="5"/>
                <c:pt idx="0">
                  <c:v>1.529166666666667</c:v>
                </c:pt>
                <c:pt idx="1">
                  <c:v>1.4238095238095241</c:v>
                </c:pt>
                <c:pt idx="2">
                  <c:v>1.1882352941176471</c:v>
                </c:pt>
                <c:pt idx="3">
                  <c:v>1.3923076923076925</c:v>
                </c:pt>
                <c:pt idx="4">
                  <c:v>1.3499999999999999</c:v>
                </c:pt>
              </c:numCache>
            </c:numRef>
          </c:val>
          <c:extLst>
            <c:ext xmlns:c16="http://schemas.microsoft.com/office/drawing/2014/chart" uri="{C3380CC4-5D6E-409C-BE32-E72D297353CC}">
              <c16:uniqueId val="{00000001-CE17-4D01-A423-DEAAC5A075A3}"/>
            </c:ext>
          </c:extLst>
        </c:ser>
        <c:ser>
          <c:idx val="2"/>
          <c:order val="2"/>
          <c:tx>
            <c:strRef>
              <c:f>'Regional comparison'!$D$3</c:f>
              <c:strCache>
                <c:ptCount val="1"/>
                <c:pt idx="0">
                  <c:v>Average of Daily_Sugar_Drinks</c:v>
                </c:pt>
              </c:strCache>
            </c:strRef>
          </c:tx>
          <c:spPr>
            <a:solidFill>
              <a:schemeClr val="accent3"/>
            </a:solidFill>
            <a:ln>
              <a:noFill/>
            </a:ln>
            <a:effectLst/>
          </c:spPr>
          <c:invertIfNegative val="0"/>
          <c:cat>
            <c:strRef>
              <c:f>'Regional comparison'!$A$4:$A$9</c:f>
              <c:strCache>
                <c:ptCount val="5"/>
                <c:pt idx="0">
                  <c:v>Central</c:v>
                </c:pt>
                <c:pt idx="1">
                  <c:v>East</c:v>
                </c:pt>
                <c:pt idx="2">
                  <c:v>North</c:v>
                </c:pt>
                <c:pt idx="3">
                  <c:v>South</c:v>
                </c:pt>
                <c:pt idx="4">
                  <c:v>West</c:v>
                </c:pt>
              </c:strCache>
            </c:strRef>
          </c:cat>
          <c:val>
            <c:numRef>
              <c:f>'Regional comparison'!$D$4:$D$9</c:f>
              <c:numCache>
                <c:formatCode>0.00</c:formatCode>
                <c:ptCount val="5"/>
                <c:pt idx="0">
                  <c:v>1.5</c:v>
                </c:pt>
                <c:pt idx="1">
                  <c:v>1.5714285714285714</c:v>
                </c:pt>
                <c:pt idx="2">
                  <c:v>1.3529411764705883</c:v>
                </c:pt>
                <c:pt idx="3">
                  <c:v>1.1923076923076923</c:v>
                </c:pt>
                <c:pt idx="4">
                  <c:v>1.1666666666666667</c:v>
                </c:pt>
              </c:numCache>
            </c:numRef>
          </c:val>
          <c:extLst>
            <c:ext xmlns:c16="http://schemas.microsoft.com/office/drawing/2014/chart" uri="{C3380CC4-5D6E-409C-BE32-E72D297353CC}">
              <c16:uniqueId val="{00000002-CE17-4D01-A423-DEAAC5A075A3}"/>
            </c:ext>
          </c:extLst>
        </c:ser>
        <c:ser>
          <c:idx val="3"/>
          <c:order val="3"/>
          <c:tx>
            <c:strRef>
              <c:f>'Regional comparison'!$E$3</c:f>
              <c:strCache>
                <c:ptCount val="1"/>
                <c:pt idx="0">
                  <c:v>Average of Daily_Veggie_Servings</c:v>
                </c:pt>
              </c:strCache>
            </c:strRef>
          </c:tx>
          <c:spPr>
            <a:solidFill>
              <a:schemeClr val="accent4"/>
            </a:solidFill>
            <a:ln>
              <a:noFill/>
            </a:ln>
            <a:effectLst/>
          </c:spPr>
          <c:invertIfNegative val="0"/>
          <c:cat>
            <c:strRef>
              <c:f>'Regional comparison'!$A$4:$A$9</c:f>
              <c:strCache>
                <c:ptCount val="5"/>
                <c:pt idx="0">
                  <c:v>Central</c:v>
                </c:pt>
                <c:pt idx="1">
                  <c:v>East</c:v>
                </c:pt>
                <c:pt idx="2">
                  <c:v>North</c:v>
                </c:pt>
                <c:pt idx="3">
                  <c:v>South</c:v>
                </c:pt>
                <c:pt idx="4">
                  <c:v>West</c:v>
                </c:pt>
              </c:strCache>
            </c:strRef>
          </c:cat>
          <c:val>
            <c:numRef>
              <c:f>'Regional comparison'!$E$4:$E$9</c:f>
              <c:numCache>
                <c:formatCode>General</c:formatCode>
                <c:ptCount val="5"/>
                <c:pt idx="0">
                  <c:v>2</c:v>
                </c:pt>
                <c:pt idx="1">
                  <c:v>1.9047619047619047</c:v>
                </c:pt>
                <c:pt idx="2">
                  <c:v>1.3529411764705883</c:v>
                </c:pt>
                <c:pt idx="3">
                  <c:v>2.0769230769230771</c:v>
                </c:pt>
                <c:pt idx="4">
                  <c:v>2.0833333333333335</c:v>
                </c:pt>
              </c:numCache>
            </c:numRef>
          </c:val>
          <c:extLst>
            <c:ext xmlns:c16="http://schemas.microsoft.com/office/drawing/2014/chart" uri="{C3380CC4-5D6E-409C-BE32-E72D297353CC}">
              <c16:uniqueId val="{00000003-CE17-4D01-A423-DEAAC5A075A3}"/>
            </c:ext>
          </c:extLst>
        </c:ser>
        <c:dLbls>
          <c:showLegendKey val="0"/>
          <c:showVal val="0"/>
          <c:showCatName val="0"/>
          <c:showSerName val="0"/>
          <c:showPercent val="0"/>
          <c:showBubbleSize val="0"/>
        </c:dLbls>
        <c:gapWidth val="182"/>
        <c:axId val="1521334639"/>
        <c:axId val="1521333679"/>
      </c:barChart>
      <c:catAx>
        <c:axId val="1521334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333679"/>
        <c:crosses val="autoZero"/>
        <c:auto val="1"/>
        <c:lblAlgn val="ctr"/>
        <c:lblOffset val="100"/>
        <c:noMultiLvlLbl val="0"/>
      </c:catAx>
      <c:valAx>
        <c:axId val="152133367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334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[Day3_Child Health Data.xlsx]Health Status by Age Group!PivotTable4</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sz="1400">
                <a:solidFill>
                  <a:srgbClr val="FF0000"/>
                </a:solidFill>
              </a:rPr>
              <a:t>Health</a:t>
            </a:r>
            <a:r>
              <a:rPr lang="en-IN" sz="1400" baseline="0">
                <a:solidFill>
                  <a:srgbClr val="FF0000"/>
                </a:solidFill>
              </a:rPr>
              <a:t> Status by age group</a:t>
            </a:r>
            <a:endParaRPr lang="en-IN" sz="1400">
              <a:solidFill>
                <a:srgbClr val="FF0000"/>
              </a:solidFill>
            </a:endParaRPr>
          </a:p>
        </c:rich>
      </c:tx>
      <c:layout>
        <c:manualLayout>
          <c:xMode val="edge"/>
          <c:yMode val="edge"/>
          <c:x val="0.19413037956510698"/>
          <c:y val="0.11934966462525518"/>
        </c:manualLayout>
      </c:layout>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'Health Status by Age Group'!$B$3:$B$4</c:f>
              <c:strCache>
                <c:ptCount val="1"/>
                <c:pt idx="0">
                  <c:v>Healthy Weight</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'Health Status by Age Group'!$A$5:$A$8</c:f>
              <c:strCache>
                <c:ptCount val="3"/>
                <c:pt idx="0">
                  <c:v>25-36 months</c:v>
                </c:pt>
                <c:pt idx="1">
                  <c:v>37-48 months</c:v>
                </c:pt>
                <c:pt idx="2">
                  <c:v>49-60 months</c:v>
                </c:pt>
              </c:strCache>
            </c:strRef>
          </c:cat>
          <c:val>
            <c:numRef>
              <c:f>'Health Status by Age Group'!$B$5:$B$8</c:f>
              <c:numCache>
                <c:formatCode>General</c:formatCode>
                <c:ptCount val="3"/>
                <c:pt idx="0">
                  <c:v>6</c:v>
                </c:pt>
                <c:pt idx="1">
                  <c:v>8</c:v>
                </c:pt>
                <c:pt idx="2">
                  <c:v>10</c:v>
                </c:pt>
              </c:numCache>
            </c:numRef>
          </c:val>
          <c:extLst>
            <c:ext xmlns:c16="http://schemas.microsoft.com/office/drawing/2014/chart" uri="{C3380CC4-5D6E-409C-BE32-E72D297353CC}">
              <c16:uniqueId val="{00000000-D8CC-4912-BFE4-0C0351096389}"/>
            </c:ext>
          </c:extLst>
        </c:ser>
        <c:ser>
          <c:idx val="1"/>
          <c:order val="1"/>
          <c:tx>
            <c:strRef>
              <c:f>'Health Status by Age Group'!$C$3:$C$4</c:f>
              <c:strCache>
                <c:ptCount val="1"/>
                <c:pt idx="0">
                  <c:v>Underweight</c:v>
                </c:pt>
              </c:strCache>
            </c:strRef>
          </c:tx>
          <c:spPr>
            <a:solidFill>
              <a:schemeClr val="accent4"/>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'Health Status by Age Group'!$A$5:$A$8</c:f>
              <c:strCache>
                <c:ptCount val="3"/>
                <c:pt idx="0">
                  <c:v>25-36 months</c:v>
                </c:pt>
                <c:pt idx="1">
                  <c:v>37-48 months</c:v>
                </c:pt>
                <c:pt idx="2">
                  <c:v>49-60 months</c:v>
                </c:pt>
              </c:strCache>
            </c:strRef>
          </c:cat>
          <c:val>
            <c:numRef>
              <c:f>'Health Status by Age Group'!$C$5:$C$8</c:f>
              <c:numCache>
                <c:formatCode>General</c:formatCode>
                <c:ptCount val="3"/>
                <c:pt idx="0">
                  <c:v>33</c:v>
                </c:pt>
                <c:pt idx="1">
                  <c:v>22</c:v>
                </c:pt>
                <c:pt idx="2">
                  <c:v>21</c:v>
                </c:pt>
              </c:numCache>
            </c:numRef>
          </c:val>
          <c:extLst>
            <c:ext xmlns:c16="http://schemas.microsoft.com/office/drawing/2014/chart" uri="{C3380CC4-5D6E-409C-BE32-E72D297353CC}">
              <c16:uniqueId val="{00000001-D8CC-4912-BFE4-0C0351096389}"/>
            </c:ext>
          </c:extLst>
        </c:ser>
        <c:dLbls>
          <c:dLblPos val="outEnd"/>
          <c:showLegendKey val="0"/>
          <c:showVal val="1"/>
          <c:showCatName val="0"/>
          <c:showSerName val="0"/>
          <c:showPercent val="0"/>
          <c:showBubbleSize val="0"/>
        </c:dLbls>
        <c:gapWidth val="444"/>
        <c:overlap val="-90"/>
        <c:axId val="1835776864"/>
        <c:axId val="1835762944"/>
      </c:barChart>
      <c:catAx>
        <c:axId val="18357768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835762944"/>
        <c:crosses val="autoZero"/>
        <c:auto val="1"/>
        <c:lblAlgn val="ctr"/>
        <c:lblOffset val="100"/>
        <c:noMultiLvlLbl val="0"/>
      </c:catAx>
      <c:valAx>
        <c:axId val="1835762944"/>
        <c:scaling>
          <c:orientation val="minMax"/>
        </c:scaling>
        <c:delete val="1"/>
        <c:axPos val="l"/>
        <c:numFmt formatCode="General" sourceLinked="1"/>
        <c:majorTickMark val="none"/>
        <c:minorTickMark val="none"/>
        <c:tickLblPos val="nextTo"/>
        <c:crossAx val="1835776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[Day3_Child Health Data.xlsx]Sugar Screen Analysis!PivotTable9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a:t>
            </a:r>
            <a:r>
              <a:rPr lang="en-IN">
                <a:solidFill>
                  <a:schemeClr val="bg2">
                    <a:lumMod val="10000"/>
                  </a:schemeClr>
                </a:solidFill>
              </a:rPr>
              <a:t>Sugar</a:t>
            </a:r>
            <a:r>
              <a:rPr lang="en-IN" baseline="0">
                <a:solidFill>
                  <a:schemeClr val="bg2">
                    <a:lumMod val="10000"/>
                  </a:schemeClr>
                </a:solidFill>
              </a:rPr>
              <a:t> Screen Analysis</a:t>
            </a:r>
            <a:endParaRPr lang="en-IN">
              <a:solidFill>
                <a:schemeClr val="bg2">
                  <a:lumMod val="1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'Sugar Screen Analysis'!$C$6</c:f>
              <c:strCache>
                <c:ptCount val="1"/>
                <c:pt idx="0">
                  <c:v>Average of Daily_Sugar_Drinks</c:v>
                </c:pt>
              </c:strCache>
            </c:strRef>
          </c:tx>
          <c:spPr>
            <a:solidFill>
              <a:schemeClr val="accent1"/>
            </a:solidFill>
            <a:ln>
              <a:noFill/>
            </a:ln>
            <a:effectLst/>
          </c:spPr>
          <c:invertIfNegative val="0"/>
          <c:cat>
            <c:strRef>
              <c:f>'Sugar Screen Analysis'!$B$7:$B$9</c:f>
              <c:strCache>
                <c:ptCount val="2"/>
                <c:pt idx="0">
                  <c:v>Healthy Weight</c:v>
                </c:pt>
                <c:pt idx="1">
                  <c:v>Underweight</c:v>
                </c:pt>
              </c:strCache>
            </c:strRef>
          </c:cat>
          <c:val>
            <c:numRef>
              <c:f>'Sugar Screen Analysis'!$C$7:$C$9</c:f>
              <c:numCache>
                <c:formatCode>0.00</c:formatCode>
                <c:ptCount val="2"/>
                <c:pt idx="0">
                  <c:v>1.5833333333333333</c:v>
                </c:pt>
                <c:pt idx="1">
                  <c:v>1.3026315789473684</c:v>
                </c:pt>
              </c:numCache>
            </c:numRef>
          </c:val>
          <c:extLst>
            <c:ext xmlns:c16="http://schemas.microsoft.com/office/drawing/2014/chart" uri="{C3380CC4-5D6E-409C-BE32-E72D297353CC}">
              <c16:uniqueId val="{00000000-6A50-4756-BDB0-F8C8E480FFB3}"/>
            </c:ext>
          </c:extLst>
        </c:ser>
        <c:ser>
          <c:idx val="1"/>
          <c:order val="1"/>
          <c:tx>
            <c:strRef>
              <c:f>'Sugar Screen Analysis'!$D$6</c:f>
              <c:strCache>
                <c:ptCount val="1"/>
                <c:pt idx="0">
                  <c:v>Average of ScreenTime_Hours</c:v>
                </c:pt>
              </c:strCache>
            </c:strRef>
          </c:tx>
          <c:spPr>
            <a:solidFill>
              <a:schemeClr val="accent2"/>
            </a:solidFill>
            <a:ln>
              <a:noFill/>
            </a:ln>
            <a:effectLst/>
          </c:spPr>
          <c:invertIfNegative val="0"/>
          <c:cat>
            <c:strRef>
              <c:f>'Sugar Screen Analysis'!$B$7:$B$9</c:f>
              <c:strCache>
                <c:ptCount val="2"/>
                <c:pt idx="0">
                  <c:v>Healthy Weight</c:v>
                </c:pt>
                <c:pt idx="1">
                  <c:v>Underweight</c:v>
                </c:pt>
              </c:strCache>
            </c:strRef>
          </c:cat>
          <c:val>
            <c:numRef>
              <c:f>'Sugar Screen Analysis'!$D$7:$D$9</c:f>
              <c:numCache>
                <c:formatCode>0.00</c:formatCode>
                <c:ptCount val="2"/>
                <c:pt idx="0">
                  <c:v>1.6875000000000002</c:v>
                </c:pt>
                <c:pt idx="1">
                  <c:v>1.2986842105263157</c:v>
                </c:pt>
              </c:numCache>
            </c:numRef>
          </c:val>
          <c:extLst>
            <c:ext xmlns:c16="http://schemas.microsoft.com/office/drawing/2014/chart" uri="{C3380CC4-5D6E-409C-BE32-E72D297353CC}">
              <c16:uniqueId val="{00000001-6A50-4756-BDB0-F8C8E480FFB3}"/>
            </c:ext>
          </c:extLst>
        </c:ser>
        <c:dLbls>
          <c:showLegendKey val="0"/>
          <c:showVal val="0"/>
          <c:showCatName val="0"/>
          <c:showSerName val="0"/>
          <c:showPercent val="0"/>
          <c:showBubbleSize val="0"/>
        </c:dLbls>
        <c:gapWidth val="182"/>
        <c:axId val="1521319279"/>
        <c:axId val="1521319759"/>
      </c:barChart>
      <c:catAx>
        <c:axId val="1521319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319759"/>
        <c:crosses val="autoZero"/>
        <c:auto val="1"/>
        <c:lblAlgn val="ctr"/>
        <c:lblOffset val="100"/>
        <c:noMultiLvlLbl val="0"/>
      </c:catAx>
      <c:valAx>
        <c:axId val="152131975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319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[Day3_Child Health Data.xlsx]Nutrition Intake vs BMI!PivotTable11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BMI by Region</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'Nutrition Intake vs BMI'!$N$23</c:f>
              <c:strCache>
                <c:ptCount val="1"/>
                <c:pt idx="0">
                  <c:v>Total</c:v>
                </c:pt>
              </c:strCache>
            </c:strRef>
          </c:tx>
          <c:spPr>
            <a:solidFill>
              <a:schemeClr val="accent6"/>
            </a:solidFill>
            <a:ln>
              <a:noFill/>
            </a:ln>
            <a:effectLst/>
          </c:spPr>
          <c:invertIfNegative val="0"/>
          <c:cat>
            <c:strRef>
              <c:f>'Nutrition Intake vs BMI'!$M$24:$M$29</c:f>
              <c:strCache>
                <c:ptCount val="5"/>
                <c:pt idx="0">
                  <c:v>Central</c:v>
                </c:pt>
                <c:pt idx="1">
                  <c:v>East</c:v>
                </c:pt>
                <c:pt idx="2">
                  <c:v>North</c:v>
                </c:pt>
                <c:pt idx="3">
                  <c:v>South</c:v>
                </c:pt>
                <c:pt idx="4">
                  <c:v>West</c:v>
                </c:pt>
              </c:strCache>
            </c:strRef>
          </c:cat>
          <c:val>
            <c:numRef>
              <c:f>'Nutrition Intake vs BMI'!$N$24:$N$29</c:f>
              <c:numCache>
                <c:formatCode>0.00</c:formatCode>
                <c:ptCount val="5"/>
                <c:pt idx="0">
                  <c:v>17.280514841003029</c:v>
                </c:pt>
                <c:pt idx="1">
                  <c:v>16.371172019628016</c:v>
                </c:pt>
                <c:pt idx="2">
                  <c:v>16.789441132947946</c:v>
                </c:pt>
                <c:pt idx="3">
                  <c:v>17.188810268120474</c:v>
                </c:pt>
                <c:pt idx="4">
                  <c:v>17.912368815419139</c:v>
                </c:pt>
              </c:numCache>
            </c:numRef>
          </c:val>
          <c:extLst>
            <c:ext xmlns:c16="http://schemas.microsoft.com/office/drawing/2014/chart" uri="{C3380CC4-5D6E-409C-BE32-E72D297353CC}">
              <c16:uniqueId val="{00000000-1B20-4CC8-874D-1D8EC803269A}"/>
            </c:ext>
          </c:extLst>
        </c:ser>
        <c:dLbls>
          <c:showLegendKey val="0"/>
          <c:showVal val="0"/>
          <c:showCatName val="0"/>
          <c:showSerName val="0"/>
          <c:showPercent val="0"/>
          <c:showBubbleSize val="0"/>
        </c:dLbls>
        <c:gapWidth val="182"/>
        <c:axId val="1974470975"/>
        <c:axId val="1974454655"/>
      </c:barChart>
      <c:catAx>
        <c:axId val="1974470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4454655"/>
        <c:crosses val="autoZero"/>
        <c:auto val="1"/>
        <c:lblAlgn val="ctr"/>
        <c:lblOffset val="100"/>
        <c:noMultiLvlLbl val="0"/>
      </c:catAx>
      <c:valAx>
        <c:axId val="197445465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4470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187325</xdr:colOff>
      <xdr:row>9</xdr:row>
      <xdr:rowOff>63500</xdr:rowOff>
    </xdr:from>
    <xdr:to>
      <xdr:col>3</xdr:col>
      <xdr:colOff>219075</xdr:colOff>
      <xdr:row>24</xdr:row>
      <xdr:rowOff>44450</xdr:rowOff>
    </xdr:to>
    <xdr:graphicFrame macro="">
      <xdr:nvGraphicFramePr>
        <xdr:cNvPr id="4" name="Chart 3">
          <a:extLst>
            <a:ext uri="{FF2B5EF4-FFF2-40B4-BE49-F238E27FC236}">
              <a16:creationId xmlns:a16="http://schemas.microsoft.com/office/drawing/2014/main" id="{23964FB3-71E8-EF6A-015D-7477030937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317500</xdr:colOff>
      <xdr:row>0</xdr:row>
      <xdr:rowOff>107950</xdr:rowOff>
    </xdr:from>
    <xdr:to>
      <xdr:col>17</xdr:col>
      <xdr:colOff>165100</xdr:colOff>
      <xdr:row>14</xdr:row>
      <xdr:rowOff>149222</xdr:rowOff>
    </xdr:to>
    <mc:AlternateContent xmlns:mc="http://schemas.openxmlformats.org/markup-compatibility/2006" xmlns:a14="http://schemas.microsoft.com/office/drawing/2010/main">
      <mc:Choice Requires="a14">
        <xdr:graphicFrame macro="">
          <xdr:nvGraphicFramePr>
            <xdr:cNvPr id="3" name="Daily_Fruit_Servings">
              <a:extLst>
                <a:ext uri="{FF2B5EF4-FFF2-40B4-BE49-F238E27FC236}">
                  <a16:creationId xmlns:a16="http://schemas.microsoft.com/office/drawing/2014/main" id="{8DF768C2-2E39-74C7-4197-F245DCED338D}"/>
                </a:ext>
              </a:extLst>
            </xdr:cNvPr>
            <xdr:cNvGraphicFramePr/>
          </xdr:nvGraphicFramePr>
          <xdr:xfrm>
            <a:off x="0" y="0"/>
            <a:ext cx="0" cy="0"/>
          </xdr:xfrm>
          <a:graphic>
            <a:graphicData uri="http://schemas.microsoft.com/office/drawing/2010/slicer">
              <sle:slicer xmlns:sle="http://schemas.microsoft.com/office/drawing/2010/slicer" name="Daily_Fruit_Servings"/>
            </a:graphicData>
          </a:graphic>
        </xdr:graphicFrame>
      </mc:Choice>
      <mc:Fallback xmlns="">
        <xdr:sp macro="" textlink="">
          <xdr:nvSpPr>
            <xdr:cNvPr id="0" name=""/>
            <xdr:cNvSpPr>
              <a:spLocks noTextEdit="1"/>
            </xdr:cNvSpPr>
          </xdr:nvSpPr>
          <xdr:spPr>
            <a:xfrm>
              <a:off x="10490200" y="10795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184150</xdr:colOff>
      <xdr:row>0</xdr:row>
      <xdr:rowOff>101600</xdr:rowOff>
    </xdr:from>
    <xdr:to>
      <xdr:col>13</xdr:col>
      <xdr:colOff>393700</xdr:colOff>
      <xdr:row>14</xdr:row>
      <xdr:rowOff>142872</xdr:rowOff>
    </xdr:to>
    <mc:AlternateContent xmlns:mc="http://schemas.openxmlformats.org/markup-compatibility/2006" xmlns:a14="http://schemas.microsoft.com/office/drawing/2010/main">
      <mc:Choice Requires="a14">
        <xdr:graphicFrame macro="">
          <xdr:nvGraphicFramePr>
            <xdr:cNvPr id="4" name="Daily_Veggie_Servings">
              <a:extLst>
                <a:ext uri="{FF2B5EF4-FFF2-40B4-BE49-F238E27FC236}">
                  <a16:creationId xmlns:a16="http://schemas.microsoft.com/office/drawing/2014/main" id="{7A047EAE-29DE-3FE8-7E68-D0AB6ABB8AD3}"/>
                </a:ext>
              </a:extLst>
            </xdr:cNvPr>
            <xdr:cNvGraphicFramePr/>
          </xdr:nvGraphicFramePr>
          <xdr:xfrm>
            <a:off x="0" y="0"/>
            <a:ext cx="0" cy="0"/>
          </xdr:xfrm>
          <a:graphic>
            <a:graphicData uri="http://schemas.microsoft.com/office/drawing/2010/slicer">
              <sle:slicer xmlns:sle="http://schemas.microsoft.com/office/drawing/2010/slicer" name="Daily_Veggie_Servings"/>
            </a:graphicData>
          </a:graphic>
        </xdr:graphicFrame>
      </mc:Choice>
      <mc:Fallback xmlns="">
        <xdr:sp macro="" textlink="">
          <xdr:nvSpPr>
            <xdr:cNvPr id="0" name=""/>
            <xdr:cNvSpPr>
              <a:spLocks noTextEdit="1"/>
            </xdr:cNvSpPr>
          </xdr:nvSpPr>
          <xdr:spPr>
            <a:xfrm>
              <a:off x="7689850" y="10160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12700</xdr:colOff>
      <xdr:row>0</xdr:row>
      <xdr:rowOff>127000</xdr:rowOff>
    </xdr:from>
    <xdr:to>
      <xdr:col>10</xdr:col>
      <xdr:colOff>520700</xdr:colOff>
      <xdr:row>14</xdr:row>
      <xdr:rowOff>168272</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C730EA66-5621-5057-9318-C1C54F518D2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537200" y="12700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174625</xdr:colOff>
      <xdr:row>16</xdr:row>
      <xdr:rowOff>171450</xdr:rowOff>
    </xdr:from>
    <xdr:to>
      <xdr:col>9</xdr:col>
      <xdr:colOff>212725</xdr:colOff>
      <xdr:row>31</xdr:row>
      <xdr:rowOff>152400</xdr:rowOff>
    </xdr:to>
    <xdr:graphicFrame macro="">
      <xdr:nvGraphicFramePr>
        <xdr:cNvPr id="9" name="Chart 8">
          <a:extLst>
            <a:ext uri="{FF2B5EF4-FFF2-40B4-BE49-F238E27FC236}">
              <a16:creationId xmlns:a16="http://schemas.microsoft.com/office/drawing/2014/main" id="{0168D48D-73BE-D895-EB39-1A278E2D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22225</xdr:colOff>
      <xdr:row>11</xdr:row>
      <xdr:rowOff>31750</xdr:rowOff>
    </xdr:from>
    <xdr:to>
      <xdr:col>4</xdr:col>
      <xdr:colOff>358775</xdr:colOff>
      <xdr:row>26</xdr:row>
      <xdr:rowOff>12700</xdr:rowOff>
    </xdr:to>
    <xdr:graphicFrame macro="">
      <xdr:nvGraphicFramePr>
        <xdr:cNvPr id="3" name="Chart 2">
          <a:extLst>
            <a:ext uri="{FF2B5EF4-FFF2-40B4-BE49-F238E27FC236}">
              <a16:creationId xmlns:a16="http://schemas.microsoft.com/office/drawing/2014/main" id="{7D71D098-8393-0973-589D-639B421A2B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723900</xdr:colOff>
      <xdr:row>15</xdr:row>
      <xdr:rowOff>63500</xdr:rowOff>
    </xdr:from>
    <xdr:to>
      <xdr:col>4</xdr:col>
      <xdr:colOff>1784350</xdr:colOff>
      <xdr:row>33</xdr:row>
      <xdr:rowOff>177800</xdr:rowOff>
    </xdr:to>
    <xdr:graphicFrame macro="">
      <xdr:nvGraphicFramePr>
        <xdr:cNvPr id="3" name="Chart 2">
          <a:extLst>
            <a:ext uri="{FF2B5EF4-FFF2-40B4-BE49-F238E27FC236}">
              <a16:creationId xmlns:a16="http://schemas.microsoft.com/office/drawing/2014/main" id="{28439252-1E39-858C-8048-2F81384166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590550</xdr:colOff>
      <xdr:row>24</xdr:row>
      <xdr:rowOff>0</xdr:rowOff>
    </xdr:from>
    <xdr:to>
      <xdr:col>8</xdr:col>
      <xdr:colOff>0</xdr:colOff>
      <xdr:row>47</xdr:row>
      <xdr:rowOff>101600</xdr:rowOff>
    </xdr:to>
    <xdr:graphicFrame macro="">
      <xdr:nvGraphicFramePr>
        <xdr:cNvPr id="4" name="Chart 1">
          <a:extLst>
            <a:ext uri="{FF2B5EF4-FFF2-40B4-BE49-F238E27FC236}">
              <a16:creationId xmlns:a16="http://schemas.microsoft.com/office/drawing/2014/main" id="{39BC9780-DCF3-22F9-FBBD-D41CA9F693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6350</xdr:colOff>
      <xdr:row>8</xdr:row>
      <xdr:rowOff>12700</xdr:rowOff>
    </xdr:from>
    <xdr:to>
      <xdr:col>7</xdr:col>
      <xdr:colOff>571500</xdr:colOff>
      <xdr:row>22</xdr:row>
      <xdr:rowOff>177800</xdr:rowOff>
    </xdr:to>
    <xdr:graphicFrame macro="">
      <xdr:nvGraphicFramePr>
        <xdr:cNvPr id="2" name="Chart 1">
          <a:extLst>
            <a:ext uri="{FF2B5EF4-FFF2-40B4-BE49-F238E27FC236}">
              <a16:creationId xmlns:a16="http://schemas.microsoft.com/office/drawing/2014/main" id="{EA6DB5D8-87CB-F5A6-2EA0-E9500F374B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292100</xdr:colOff>
      <xdr:row>8</xdr:row>
      <xdr:rowOff>12700</xdr:rowOff>
    </xdr:from>
    <xdr:to>
      <xdr:col>16</xdr:col>
      <xdr:colOff>0</xdr:colOff>
      <xdr:row>22</xdr:row>
      <xdr:rowOff>177800</xdr:rowOff>
    </xdr:to>
    <xdr:graphicFrame macro="">
      <xdr:nvGraphicFramePr>
        <xdr:cNvPr id="3" name="Chart 1">
          <a:extLst>
            <a:ext uri="{FF2B5EF4-FFF2-40B4-BE49-F238E27FC236}">
              <a16:creationId xmlns:a16="http://schemas.microsoft.com/office/drawing/2014/main" id="{9132E68D-2A55-DCE2-020D-8A0B7DA063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400050</xdr:colOff>
      <xdr:row>23</xdr:row>
      <xdr:rowOff>177800</xdr:rowOff>
    </xdr:from>
    <xdr:to>
      <xdr:col>16</xdr:col>
      <xdr:colOff>95250</xdr:colOff>
      <xdr:row>45</xdr:row>
      <xdr:rowOff>69850</xdr:rowOff>
    </xdr:to>
    <xdr:graphicFrame macro="">
      <xdr:nvGraphicFramePr>
        <xdr:cNvPr id="5" name="Chart 4">
          <a:extLst>
            <a:ext uri="{FF2B5EF4-FFF2-40B4-BE49-F238E27FC236}">
              <a16:creationId xmlns:a16="http://schemas.microsoft.com/office/drawing/2014/main" id="{85FC41AA-AB4F-4DAF-A278-DDF4881231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ya Akshintala" refreshedDate="46100.053773032407" createdVersion="8" refreshedVersion="8" minRefreshableVersion="3" recordCount="100" xr:uid="{09FF9F82-1860-410A-B9D8-87B3FF0EB44F}">
  <cacheSource type="worksheet">
    <worksheetSource name="Child_Health_Data"/>
  </cacheSource>
  <cacheFields count="13">
    <cacheField name="ChildID" numFmtId="0">
      <sharedItems/>
    </cacheField>
    <cacheField name="Age_Months" numFmtId="0">
      <sharedItems containsSemiMixedTypes="0" containsString="0" containsNumber="1" containsInteger="1" minValue="25" maxValue="59"/>
    </cacheField>
    <cacheField name="Gender" numFmtId="0">
      <sharedItems/>
    </cacheField>
    <cacheField name="Height_cm" numFmtId="0">
      <sharedItems containsSemiMixedTypes="0" containsString="0" containsNumber="1" minValue="88.93" maxValue="115.19"/>
    </cacheField>
    <cacheField name="Weight_kg" numFmtId="0">
      <sharedItems containsSemiMixedTypes="0" containsString="0" containsNumber="1" minValue="11.75" maxValue="25.26"/>
    </cacheField>
    <cacheField name="Daily_Fruit_Servings" numFmtId="0">
      <sharedItems containsSemiMixedTypes="0" containsString="0" containsNumber="1" containsInteger="1" minValue="0" maxValue="4" count="5">
        <n v="1"/>
        <n v="0"/>
        <n v="3"/>
        <n v="2"/>
        <n v="4"/>
      </sharedItems>
    </cacheField>
    <cacheField name="Daily_Veggie_Servings" numFmtId="0">
      <sharedItems containsSemiMixedTypes="0" containsString="0" containsNumber="1" containsInteger="1" minValue="0" maxValue="4" count="5">
        <n v="2"/>
        <n v="1"/>
        <n v="3"/>
        <n v="0"/>
        <n v="4"/>
      </sharedItems>
    </cacheField>
    <cacheField name="Daily_Sugar_Drinks" numFmtId="0">
      <sharedItems containsSemiMixedTypes="0" containsString="0" containsNumber="1" containsInteger="1" minValue="0" maxValue="3"/>
    </cacheField>
    <cacheField name="ScreenTime_Hours" numFmtId="0">
      <sharedItems containsSemiMixedTypes="0" containsString="0" containsNumber="1" minValue="0.5" maxValue="3.8"/>
    </cacheField>
    <cacheField name="Region" numFmtId="0">
      <sharedItems count="5">
        <s v="South"/>
        <s v="Central"/>
        <s v="East"/>
        <s v="North"/>
        <s v="West"/>
      </sharedItems>
    </cacheField>
    <cacheField name="BMI" numFmtId="2">
      <sharedItems containsSemiMixedTypes="0" containsString="0" containsNumber="1" minValue="11.23198275256877" maxValue="21.36231277340449"/>
    </cacheField>
    <cacheField name="Health Status" numFmtId="0">
      <sharedItems count="2">
        <s v="Underweight"/>
        <s v="Healthy Weight"/>
      </sharedItems>
    </cacheField>
    <cacheField name="Age Group" numFmtId="0">
      <sharedItems count="3">
        <s v="37-48 months"/>
        <s v="25-36 months"/>
        <s v="49-60 months"/>
      </sharedItems>
    </cacheField>
  </cacheFields>
  <extLst>
    <ext xmlns:x14="http://schemas.microsoft.com/office/spreadsheetml/2009/9/main" uri="{725AE2AE-9491-48be-B2B4-4EB974FC3084}">
      <x14:pivotCacheDefinition pivotCacheId="5553032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C001"/>
    <n v="47"/>
    <s v="Female"/>
    <n v="104.41"/>
    <n v="17.34"/>
    <x v="0"/>
    <x v="0"/>
    <n v="3"/>
    <n v="1.2"/>
    <x v="0"/>
    <n v="15.90614369846883"/>
    <x v="0"/>
    <x v="0"/>
  </r>
  <r>
    <s v="C002"/>
    <n v="34"/>
    <s v="Female"/>
    <n v="99.08"/>
    <n v="16.21"/>
    <x v="1"/>
    <x v="1"/>
    <n v="1"/>
    <n v="1.4"/>
    <x v="1"/>
    <n v="16.512431120446177"/>
    <x v="0"/>
    <x v="1"/>
  </r>
  <r>
    <s v="C003"/>
    <n v="35"/>
    <s v="Female"/>
    <n v="94.96"/>
    <n v="17.3"/>
    <x v="2"/>
    <x v="2"/>
    <n v="2"/>
    <n v="0.6"/>
    <x v="1"/>
    <n v="19.185127564907393"/>
    <x v="1"/>
    <x v="1"/>
  </r>
  <r>
    <s v="C004"/>
    <n v="39"/>
    <s v="Female"/>
    <n v="100.65"/>
    <n v="20.010000000000002"/>
    <x v="3"/>
    <x v="3"/>
    <n v="1"/>
    <n v="1.5"/>
    <x v="1"/>
    <n v="19.75238446372795"/>
    <x v="1"/>
    <x v="0"/>
  </r>
  <r>
    <s v="C005"/>
    <n v="26"/>
    <s v="Female"/>
    <n v="90.06"/>
    <n v="12.16"/>
    <x v="1"/>
    <x v="1"/>
    <n v="0"/>
    <n v="0.9"/>
    <x v="0"/>
    <n v="14.992349216790304"/>
    <x v="0"/>
    <x v="1"/>
  </r>
  <r>
    <s v="C006"/>
    <n v="51"/>
    <s v="Male"/>
    <n v="108.82"/>
    <n v="21.54"/>
    <x v="1"/>
    <x v="1"/>
    <n v="1"/>
    <n v="0.9"/>
    <x v="2"/>
    <n v="18.189813900132215"/>
    <x v="0"/>
    <x v="2"/>
  </r>
  <r>
    <s v="C007"/>
    <n v="52"/>
    <s v="Male"/>
    <n v="110.28"/>
    <n v="21.49"/>
    <x v="4"/>
    <x v="3"/>
    <n v="2"/>
    <n v="2.8"/>
    <x v="0"/>
    <n v="17.67025840775398"/>
    <x v="0"/>
    <x v="2"/>
  </r>
  <r>
    <s v="C008"/>
    <n v="52"/>
    <s v="Female"/>
    <n v="102.65"/>
    <n v="19.55"/>
    <x v="3"/>
    <x v="0"/>
    <n v="1"/>
    <n v="1.3"/>
    <x v="1"/>
    <n v="18.553628408784363"/>
    <x v="1"/>
    <x v="2"/>
  </r>
  <r>
    <s v="C009"/>
    <n v="28"/>
    <s v="Male"/>
    <n v="91.47"/>
    <n v="16.39"/>
    <x v="2"/>
    <x v="0"/>
    <n v="3"/>
    <n v="0.8"/>
    <x v="3"/>
    <n v="19.589420799631078"/>
    <x v="1"/>
    <x v="1"/>
  </r>
  <r>
    <s v="C010"/>
    <n v="44"/>
    <s v="Female"/>
    <n v="111.89"/>
    <n v="17.95"/>
    <x v="0"/>
    <x v="2"/>
    <n v="0"/>
    <n v="0.8"/>
    <x v="1"/>
    <n v="14.337779767724934"/>
    <x v="0"/>
    <x v="0"/>
  </r>
  <r>
    <s v="C011"/>
    <n v="25"/>
    <s v="Male"/>
    <n v="96.25"/>
    <n v="13.5"/>
    <x v="2"/>
    <x v="4"/>
    <n v="0"/>
    <n v="0.6"/>
    <x v="4"/>
    <n v="14.572440546466519"/>
    <x v="0"/>
    <x v="1"/>
  </r>
  <r>
    <s v="C012"/>
    <n v="32"/>
    <s v="Female"/>
    <n v="96.02"/>
    <n v="16.55"/>
    <x v="3"/>
    <x v="3"/>
    <n v="2"/>
    <n v="1"/>
    <x v="3"/>
    <n v="17.950419185130364"/>
    <x v="0"/>
    <x v="1"/>
  </r>
  <r>
    <s v="C013"/>
    <n v="34"/>
    <s v="Male"/>
    <n v="97.37"/>
    <n v="15.55"/>
    <x v="1"/>
    <x v="1"/>
    <n v="2"/>
    <n v="1.3"/>
    <x v="2"/>
    <n v="16.401367255945466"/>
    <x v="0"/>
    <x v="1"/>
  </r>
  <r>
    <s v="C014"/>
    <n v="49"/>
    <s v="Male"/>
    <n v="108.39"/>
    <n v="20.100000000000001"/>
    <x v="1"/>
    <x v="0"/>
    <n v="3"/>
    <n v="0.6"/>
    <x v="2"/>
    <n v="17.108724180222072"/>
    <x v="0"/>
    <x v="2"/>
  </r>
  <r>
    <s v="C015"/>
    <n v="25"/>
    <s v="Male"/>
    <n v="92.58"/>
    <n v="15.13"/>
    <x v="3"/>
    <x v="0"/>
    <n v="2"/>
    <n v="1.6"/>
    <x v="1"/>
    <n v="17.652433135313405"/>
    <x v="0"/>
    <x v="1"/>
  </r>
  <r>
    <s v="C016"/>
    <n v="38"/>
    <s v="Male"/>
    <n v="99.65"/>
    <n v="16.940000000000001"/>
    <x v="0"/>
    <x v="2"/>
    <n v="3"/>
    <n v="2.1"/>
    <x v="1"/>
    <n v="17.059205462973896"/>
    <x v="0"/>
    <x v="0"/>
  </r>
  <r>
    <s v="C017"/>
    <n v="38"/>
    <s v="Female"/>
    <n v="98.91"/>
    <n v="19.489999999999998"/>
    <x v="1"/>
    <x v="3"/>
    <n v="3"/>
    <n v="3.1"/>
    <x v="1"/>
    <n v="19.92193117497148"/>
    <x v="1"/>
    <x v="0"/>
  </r>
  <r>
    <s v="C018"/>
    <n v="25"/>
    <s v="Female"/>
    <n v="96.42"/>
    <n v="14.69"/>
    <x v="0"/>
    <x v="2"/>
    <n v="2"/>
    <n v="1.2"/>
    <x v="3"/>
    <n v="15.801108000799067"/>
    <x v="0"/>
    <x v="1"/>
  </r>
  <r>
    <s v="C019"/>
    <n v="57"/>
    <s v="Female"/>
    <n v="109.26"/>
    <n v="20.61"/>
    <x v="2"/>
    <x v="0"/>
    <n v="1"/>
    <n v="2"/>
    <x v="2"/>
    <n v="17.264563375422682"/>
    <x v="0"/>
    <x v="2"/>
  </r>
  <r>
    <s v="C020"/>
    <n v="34"/>
    <s v="Male"/>
    <n v="98.22"/>
    <n v="15.49"/>
    <x v="0"/>
    <x v="0"/>
    <n v="0"/>
    <n v="0.8"/>
    <x v="1"/>
    <n v="16.056524938447225"/>
    <x v="0"/>
    <x v="1"/>
  </r>
  <r>
    <s v="C021"/>
    <n v="35"/>
    <s v="Female"/>
    <n v="101.02"/>
    <n v="16.760000000000002"/>
    <x v="2"/>
    <x v="0"/>
    <n v="2"/>
    <n v="1.9"/>
    <x v="0"/>
    <n v="16.423256883921791"/>
    <x v="0"/>
    <x v="1"/>
  </r>
  <r>
    <s v="C022"/>
    <n v="56"/>
    <s v="Male"/>
    <n v="111.44"/>
    <n v="21.87"/>
    <x v="4"/>
    <x v="1"/>
    <n v="2"/>
    <n v="1.9"/>
    <x v="2"/>
    <n v="17.610292772445963"/>
    <x v="0"/>
    <x v="2"/>
  </r>
  <r>
    <s v="C023"/>
    <n v="46"/>
    <s v="Male"/>
    <n v="103.85"/>
    <n v="19.47"/>
    <x v="3"/>
    <x v="4"/>
    <n v="3"/>
    <n v="2.9"/>
    <x v="2"/>
    <n v="18.053148301698982"/>
    <x v="0"/>
    <x v="0"/>
  </r>
  <r>
    <s v="C024"/>
    <n v="35"/>
    <s v="Female"/>
    <n v="102.67"/>
    <n v="13.79"/>
    <x v="4"/>
    <x v="1"/>
    <n v="1"/>
    <n v="2"/>
    <x v="1"/>
    <n v="13.082090287312587"/>
    <x v="0"/>
    <x v="1"/>
  </r>
  <r>
    <s v="C025"/>
    <n v="52"/>
    <s v="Male"/>
    <n v="107.91"/>
    <n v="19.27"/>
    <x v="4"/>
    <x v="3"/>
    <n v="0"/>
    <n v="0.8"/>
    <x v="2"/>
    <n v="16.548488389191526"/>
    <x v="0"/>
    <x v="2"/>
  </r>
  <r>
    <s v="C026"/>
    <n v="30"/>
    <s v="Female"/>
    <n v="96.67"/>
    <n v="15.72"/>
    <x v="2"/>
    <x v="1"/>
    <n v="2"/>
    <n v="1.2"/>
    <x v="3"/>
    <n v="16.821669829165565"/>
    <x v="0"/>
    <x v="1"/>
  </r>
  <r>
    <s v="C027"/>
    <n v="35"/>
    <s v="Male"/>
    <n v="101.41"/>
    <n v="19.45"/>
    <x v="1"/>
    <x v="4"/>
    <n v="2"/>
    <n v="1.9"/>
    <x v="0"/>
    <n v="18.912896252767929"/>
    <x v="1"/>
    <x v="1"/>
  </r>
  <r>
    <s v="C028"/>
    <n v="32"/>
    <s v="Female"/>
    <n v="102.28"/>
    <n v="11.75"/>
    <x v="3"/>
    <x v="1"/>
    <n v="1"/>
    <n v="1.3"/>
    <x v="2"/>
    <n v="11.23198275256877"/>
    <x v="0"/>
    <x v="1"/>
  </r>
  <r>
    <s v="C029"/>
    <n v="46"/>
    <s v="Male"/>
    <n v="105.06"/>
    <n v="17.260000000000002"/>
    <x v="4"/>
    <x v="1"/>
    <n v="2"/>
    <n v="0.8"/>
    <x v="1"/>
    <n v="15.637452318001349"/>
    <x v="0"/>
    <x v="0"/>
  </r>
  <r>
    <s v="C030"/>
    <n v="43"/>
    <s v="Male"/>
    <n v="103.22"/>
    <n v="20.74"/>
    <x v="3"/>
    <x v="0"/>
    <n v="3"/>
    <n v="2.1"/>
    <x v="0"/>
    <n v="19.466193791459283"/>
    <x v="1"/>
    <x v="0"/>
  </r>
  <r>
    <s v="C031"/>
    <n v="46"/>
    <s v="Female"/>
    <n v="105.42"/>
    <n v="20.23"/>
    <x v="4"/>
    <x v="3"/>
    <n v="2"/>
    <n v="2.2999999999999998"/>
    <x v="4"/>
    <n v="18.203288786295403"/>
    <x v="0"/>
    <x v="0"/>
  </r>
  <r>
    <s v="C032"/>
    <n v="32"/>
    <s v="Male"/>
    <n v="97.29"/>
    <n v="12.89"/>
    <x v="4"/>
    <x v="0"/>
    <n v="2"/>
    <n v="1.3"/>
    <x v="1"/>
    <n v="13.618099737124188"/>
    <x v="0"/>
    <x v="1"/>
  </r>
  <r>
    <s v="C033"/>
    <n v="46"/>
    <s v="Male"/>
    <n v="106.22"/>
    <n v="19.48"/>
    <x v="4"/>
    <x v="2"/>
    <n v="0"/>
    <n v="0.7"/>
    <x v="0"/>
    <n v="17.26538862847617"/>
    <x v="0"/>
    <x v="0"/>
  </r>
  <r>
    <s v="C034"/>
    <n v="56"/>
    <s v="Female"/>
    <n v="114.63"/>
    <n v="20.11"/>
    <x v="3"/>
    <x v="1"/>
    <n v="0"/>
    <n v="0.8"/>
    <x v="4"/>
    <n v="15.304371025015923"/>
    <x v="0"/>
    <x v="2"/>
  </r>
  <r>
    <s v="C035"/>
    <n v="30"/>
    <s v="Female"/>
    <n v="93.15"/>
    <n v="14.24"/>
    <x v="0"/>
    <x v="1"/>
    <n v="2"/>
    <n v="1.3"/>
    <x v="1"/>
    <n v="16.411348608910586"/>
    <x v="0"/>
    <x v="1"/>
  </r>
  <r>
    <s v="C036"/>
    <n v="44"/>
    <s v="Female"/>
    <n v="102.36"/>
    <n v="19.600000000000001"/>
    <x v="0"/>
    <x v="0"/>
    <n v="0"/>
    <n v="0.9"/>
    <x v="4"/>
    <n v="18.706628300517327"/>
    <x v="1"/>
    <x v="0"/>
  </r>
  <r>
    <s v="C037"/>
    <n v="43"/>
    <s v="Female"/>
    <n v="105.34"/>
    <n v="14.14"/>
    <x v="4"/>
    <x v="2"/>
    <n v="0"/>
    <n v="0.8"/>
    <x v="2"/>
    <n v="12.742738810730817"/>
    <x v="0"/>
    <x v="0"/>
  </r>
  <r>
    <s v="C038"/>
    <n v="31"/>
    <s v="Female"/>
    <n v="96.26"/>
    <n v="17.63"/>
    <x v="2"/>
    <x v="2"/>
    <n v="2"/>
    <n v="1.7"/>
    <x v="2"/>
    <n v="19.026574134418222"/>
    <x v="1"/>
    <x v="1"/>
  </r>
  <r>
    <s v="C039"/>
    <n v="28"/>
    <s v="Male"/>
    <n v="97.25"/>
    <n v="14.98"/>
    <x v="2"/>
    <x v="4"/>
    <n v="3"/>
    <n v="3.2"/>
    <x v="1"/>
    <n v="15.839176320537135"/>
    <x v="0"/>
    <x v="1"/>
  </r>
  <r>
    <s v="C040"/>
    <n v="48"/>
    <s v="Male"/>
    <n v="108.23"/>
    <n v="21"/>
    <x v="2"/>
    <x v="4"/>
    <n v="0"/>
    <n v="0.6"/>
    <x v="1"/>
    <n v="17.927675301525785"/>
    <x v="0"/>
    <x v="0"/>
  </r>
  <r>
    <s v="C041"/>
    <n v="27"/>
    <s v="Male"/>
    <n v="97"/>
    <n v="15.12"/>
    <x v="4"/>
    <x v="3"/>
    <n v="1"/>
    <n v="1.7"/>
    <x v="3"/>
    <n v="16.069720480391116"/>
    <x v="0"/>
    <x v="1"/>
  </r>
  <r>
    <s v="C042"/>
    <n v="45"/>
    <s v="Male"/>
    <n v="107.27"/>
    <n v="22.7"/>
    <x v="4"/>
    <x v="3"/>
    <n v="0"/>
    <n v="0.8"/>
    <x v="0"/>
    <n v="19.727374806364303"/>
    <x v="1"/>
    <x v="0"/>
  </r>
  <r>
    <s v="C043"/>
    <n v="54"/>
    <s v="Male"/>
    <n v="112.46"/>
    <n v="21.36"/>
    <x v="3"/>
    <x v="3"/>
    <n v="1"/>
    <n v="1"/>
    <x v="1"/>
    <n v="16.889044889405064"/>
    <x v="0"/>
    <x v="2"/>
  </r>
  <r>
    <s v="C044"/>
    <n v="40"/>
    <s v="Male"/>
    <n v="103.32"/>
    <n v="17.41"/>
    <x v="0"/>
    <x v="3"/>
    <n v="2"/>
    <n v="2"/>
    <x v="2"/>
    <n v="16.309099267089127"/>
    <x v="0"/>
    <x v="0"/>
  </r>
  <r>
    <s v="C045"/>
    <n v="52"/>
    <s v="Female"/>
    <n v="107.31"/>
    <n v="17.34"/>
    <x v="0"/>
    <x v="2"/>
    <n v="0"/>
    <n v="0.5"/>
    <x v="3"/>
    <n v="15.058048908803379"/>
    <x v="0"/>
    <x v="2"/>
  </r>
  <r>
    <s v="C046"/>
    <n v="34"/>
    <s v="Male"/>
    <n v="99.12"/>
    <n v="17.43"/>
    <x v="2"/>
    <x v="4"/>
    <n v="3"/>
    <n v="1.6"/>
    <x v="0"/>
    <n v="17.740865378038603"/>
    <x v="0"/>
    <x v="1"/>
  </r>
  <r>
    <s v="C047"/>
    <n v="27"/>
    <s v="Male"/>
    <n v="93.16"/>
    <n v="15.53"/>
    <x v="3"/>
    <x v="0"/>
    <n v="0"/>
    <n v="0.8"/>
    <x v="1"/>
    <n v="17.89420860909388"/>
    <x v="0"/>
    <x v="1"/>
  </r>
  <r>
    <s v="C048"/>
    <n v="55"/>
    <s v="Male"/>
    <n v="111.49"/>
    <n v="20.23"/>
    <x v="0"/>
    <x v="3"/>
    <n v="1"/>
    <n v="1.6"/>
    <x v="3"/>
    <n v="16.27511447065158"/>
    <x v="0"/>
    <x v="2"/>
  </r>
  <r>
    <s v="C049"/>
    <n v="42"/>
    <s v="Female"/>
    <n v="108.71"/>
    <n v="16.2"/>
    <x v="3"/>
    <x v="1"/>
    <n v="3"/>
    <n v="1.1000000000000001"/>
    <x v="3"/>
    <n v="13.708060833090812"/>
    <x v="0"/>
    <x v="0"/>
  </r>
  <r>
    <s v="C050"/>
    <n v="36"/>
    <s v="Female"/>
    <n v="97.21"/>
    <n v="13.41"/>
    <x v="4"/>
    <x v="2"/>
    <n v="1"/>
    <n v="0.9"/>
    <x v="1"/>
    <n v="14.190800401461026"/>
    <x v="0"/>
    <x v="1"/>
  </r>
  <r>
    <s v="C051"/>
    <n v="34"/>
    <s v="Female"/>
    <n v="98.46"/>
    <n v="15.38"/>
    <x v="2"/>
    <x v="0"/>
    <n v="2"/>
    <n v="1.2"/>
    <x v="0"/>
    <n v="15.864875656303504"/>
    <x v="0"/>
    <x v="1"/>
  </r>
  <r>
    <s v="C052"/>
    <n v="40"/>
    <s v="Female"/>
    <n v="100.6"/>
    <n v="17.309999999999999"/>
    <x v="1"/>
    <x v="2"/>
    <n v="0"/>
    <n v="0.6"/>
    <x v="4"/>
    <n v="17.104134635526798"/>
    <x v="0"/>
    <x v="0"/>
  </r>
  <r>
    <s v="C053"/>
    <n v="39"/>
    <s v="Female"/>
    <n v="96.54"/>
    <n v="18.239999999999998"/>
    <x v="4"/>
    <x v="2"/>
    <n v="1"/>
    <n v="1.9"/>
    <x v="4"/>
    <n v="19.570875087215928"/>
    <x v="1"/>
    <x v="0"/>
  </r>
  <r>
    <s v="C054"/>
    <n v="57"/>
    <s v="Male"/>
    <n v="110.58"/>
    <n v="21.99"/>
    <x v="2"/>
    <x v="3"/>
    <n v="0"/>
    <n v="0.9"/>
    <x v="0"/>
    <n v="17.983410512341237"/>
    <x v="0"/>
    <x v="2"/>
  </r>
  <r>
    <s v="C055"/>
    <n v="50"/>
    <s v="Female"/>
    <n v="114.47"/>
    <n v="18.010000000000002"/>
    <x v="0"/>
    <x v="2"/>
    <n v="0"/>
    <n v="0.6"/>
    <x v="3"/>
    <n v="13.744544356487417"/>
    <x v="0"/>
    <x v="2"/>
  </r>
  <r>
    <s v="C056"/>
    <n v="31"/>
    <s v="Female"/>
    <n v="96.28"/>
    <n v="16.84"/>
    <x v="4"/>
    <x v="0"/>
    <n v="3"/>
    <n v="0.5"/>
    <x v="2"/>
    <n v="18.166443980296357"/>
    <x v="0"/>
    <x v="1"/>
  </r>
  <r>
    <s v="C057"/>
    <n v="44"/>
    <s v="Female"/>
    <n v="104.76"/>
    <n v="18.399999999999999"/>
    <x v="4"/>
    <x v="0"/>
    <n v="1"/>
    <n v="0.7"/>
    <x v="0"/>
    <n v="16.765898919707524"/>
    <x v="0"/>
    <x v="0"/>
  </r>
  <r>
    <s v="C058"/>
    <n v="42"/>
    <s v="Male"/>
    <n v="105.35"/>
    <n v="19.88"/>
    <x v="0"/>
    <x v="0"/>
    <n v="2"/>
    <n v="2.8"/>
    <x v="2"/>
    <n v="17.912132789452027"/>
    <x v="0"/>
    <x v="0"/>
  </r>
  <r>
    <s v="C059"/>
    <n v="59"/>
    <s v="Male"/>
    <n v="110.75"/>
    <n v="24.56"/>
    <x v="4"/>
    <x v="4"/>
    <n v="1"/>
    <n v="1.7"/>
    <x v="0"/>
    <n v="20.023541521230683"/>
    <x v="1"/>
    <x v="2"/>
  </r>
  <r>
    <s v="C060"/>
    <n v="56"/>
    <s v="Male"/>
    <n v="108"/>
    <n v="22.24"/>
    <x v="3"/>
    <x v="4"/>
    <n v="2"/>
    <n v="1.1000000000000001"/>
    <x v="1"/>
    <n v="19.067215363511657"/>
    <x v="1"/>
    <x v="2"/>
  </r>
  <r>
    <s v="C061"/>
    <n v="32"/>
    <s v="Female"/>
    <n v="98.63"/>
    <n v="17.96"/>
    <x v="1"/>
    <x v="3"/>
    <n v="2"/>
    <n v="2.6"/>
    <x v="3"/>
    <n v="18.462404679483562"/>
    <x v="0"/>
    <x v="1"/>
  </r>
  <r>
    <s v="C062"/>
    <n v="47"/>
    <s v="Female"/>
    <n v="103.57"/>
    <n v="22.13"/>
    <x v="2"/>
    <x v="0"/>
    <n v="0"/>
    <n v="0.6"/>
    <x v="0"/>
    <n v="20.630676133633052"/>
    <x v="1"/>
    <x v="0"/>
  </r>
  <r>
    <s v="C063"/>
    <n v="28"/>
    <s v="Male"/>
    <n v="92.72"/>
    <n v="15.7"/>
    <x v="4"/>
    <x v="3"/>
    <n v="1"/>
    <n v="0.5"/>
    <x v="3"/>
    <n v="18.26218788176115"/>
    <x v="0"/>
    <x v="1"/>
  </r>
  <r>
    <s v="C064"/>
    <n v="56"/>
    <s v="Male"/>
    <n v="113.3"/>
    <n v="20.45"/>
    <x v="3"/>
    <x v="0"/>
    <n v="2"/>
    <n v="0.5"/>
    <x v="4"/>
    <n v="15.930649869244029"/>
    <x v="0"/>
    <x v="2"/>
  </r>
  <r>
    <s v="C065"/>
    <n v="38"/>
    <s v="Male"/>
    <n v="104.84"/>
    <n v="19.829999999999998"/>
    <x v="4"/>
    <x v="3"/>
    <n v="0"/>
    <n v="0.8"/>
    <x v="3"/>
    <n v="18.041335784504604"/>
    <x v="0"/>
    <x v="0"/>
  </r>
  <r>
    <s v="C066"/>
    <n v="50"/>
    <s v="Female"/>
    <n v="104.56"/>
    <n v="21.62"/>
    <x v="4"/>
    <x v="1"/>
    <n v="1"/>
    <n v="2"/>
    <x v="0"/>
    <n v="19.775366471749727"/>
    <x v="1"/>
    <x v="2"/>
  </r>
  <r>
    <s v="C067"/>
    <n v="27"/>
    <s v="Male"/>
    <n v="97.32"/>
    <n v="16.28"/>
    <x v="3"/>
    <x v="4"/>
    <n v="0"/>
    <n v="0.8"/>
    <x v="0"/>
    <n v="17.188983711262917"/>
    <x v="0"/>
    <x v="1"/>
  </r>
  <r>
    <s v="C068"/>
    <n v="32"/>
    <s v="Female"/>
    <n v="103.58"/>
    <n v="15.12"/>
    <x v="4"/>
    <x v="3"/>
    <n v="2"/>
    <n v="1.8"/>
    <x v="2"/>
    <n v="14.092887263873765"/>
    <x v="0"/>
    <x v="1"/>
  </r>
  <r>
    <s v="C069"/>
    <n v="53"/>
    <s v="Male"/>
    <n v="105.92"/>
    <n v="22.98"/>
    <x v="3"/>
    <x v="3"/>
    <n v="0"/>
    <n v="0.8"/>
    <x v="4"/>
    <n v="20.483024296966988"/>
    <x v="1"/>
    <x v="2"/>
  </r>
  <r>
    <s v="C070"/>
    <n v="33"/>
    <s v="Male"/>
    <n v="104.76"/>
    <n v="13.89"/>
    <x v="2"/>
    <x v="4"/>
    <n v="0"/>
    <n v="0.5"/>
    <x v="2"/>
    <n v="12.656431304061822"/>
    <x v="0"/>
    <x v="1"/>
  </r>
  <r>
    <s v="C071"/>
    <n v="49"/>
    <s v="Male"/>
    <n v="108.22"/>
    <n v="19.55"/>
    <x v="0"/>
    <x v="1"/>
    <n v="2"/>
    <n v="1.6"/>
    <x v="2"/>
    <n v="16.692896572247317"/>
    <x v="0"/>
    <x v="2"/>
  </r>
  <r>
    <s v="C072"/>
    <n v="32"/>
    <s v="Female"/>
    <n v="97.69"/>
    <n v="18.04"/>
    <x v="2"/>
    <x v="0"/>
    <n v="2"/>
    <n v="2.2000000000000002"/>
    <x v="0"/>
    <n v="18.903242860743426"/>
    <x v="1"/>
    <x v="1"/>
  </r>
  <r>
    <s v="C073"/>
    <n v="52"/>
    <s v="Female"/>
    <n v="104.99"/>
    <n v="22.77"/>
    <x v="2"/>
    <x v="0"/>
    <n v="1"/>
    <n v="1.1000000000000001"/>
    <x v="1"/>
    <n v="20.656995702972939"/>
    <x v="1"/>
    <x v="2"/>
  </r>
  <r>
    <s v="C074"/>
    <n v="25"/>
    <s v="Male"/>
    <n v="88.93"/>
    <n v="15.5"/>
    <x v="2"/>
    <x v="3"/>
    <n v="3"/>
    <n v="3.8"/>
    <x v="1"/>
    <n v="19.59905418252098"/>
    <x v="1"/>
    <x v="1"/>
  </r>
  <r>
    <s v="C075"/>
    <n v="41"/>
    <s v="Female"/>
    <n v="105.5"/>
    <n v="20.18"/>
    <x v="0"/>
    <x v="4"/>
    <n v="3"/>
    <n v="1.9"/>
    <x v="3"/>
    <n v="18.130769749107163"/>
    <x v="0"/>
    <x v="0"/>
  </r>
  <r>
    <s v="C076"/>
    <n v="38"/>
    <s v="Male"/>
    <n v="101.47"/>
    <n v="15.96"/>
    <x v="0"/>
    <x v="1"/>
    <n v="0"/>
    <n v="0.8"/>
    <x v="0"/>
    <n v="15.500923261601326"/>
    <x v="0"/>
    <x v="0"/>
  </r>
  <r>
    <s v="C077"/>
    <n v="46"/>
    <s v="Male"/>
    <n v="103.84"/>
    <n v="17.13"/>
    <x v="1"/>
    <x v="4"/>
    <n v="1"/>
    <n v="0.7"/>
    <x v="2"/>
    <n v="15.886491841187462"/>
    <x v="0"/>
    <x v="0"/>
  </r>
  <r>
    <s v="C078"/>
    <n v="45"/>
    <s v="Male"/>
    <n v="103.74"/>
    <n v="18.21"/>
    <x v="0"/>
    <x v="2"/>
    <n v="0"/>
    <n v="0.5"/>
    <x v="2"/>
    <n v="16.920666215969256"/>
    <x v="0"/>
    <x v="0"/>
  </r>
  <r>
    <s v="C079"/>
    <n v="48"/>
    <s v="Male"/>
    <n v="101.32"/>
    <n v="21.93"/>
    <x v="4"/>
    <x v="0"/>
    <n v="2"/>
    <n v="2.8"/>
    <x v="1"/>
    <n v="21.36231277340449"/>
    <x v="1"/>
    <x v="0"/>
  </r>
  <r>
    <s v="C080"/>
    <n v="54"/>
    <s v="Female"/>
    <n v="109.83"/>
    <n v="21.35"/>
    <x v="2"/>
    <x v="0"/>
    <n v="1"/>
    <n v="0.7"/>
    <x v="3"/>
    <n v="17.699292730459444"/>
    <x v="0"/>
    <x v="2"/>
  </r>
  <r>
    <s v="C081"/>
    <n v="49"/>
    <s v="Male"/>
    <n v="112.98"/>
    <n v="18.22"/>
    <x v="2"/>
    <x v="1"/>
    <n v="1"/>
    <n v="1.7"/>
    <x v="0"/>
    <n v="14.273984861929826"/>
    <x v="0"/>
    <x v="2"/>
  </r>
  <r>
    <s v="C082"/>
    <n v="45"/>
    <s v="Female"/>
    <n v="104.87"/>
    <n v="19.66"/>
    <x v="0"/>
    <x v="4"/>
    <n v="2"/>
    <n v="1.1000000000000001"/>
    <x v="4"/>
    <n v="17.876437608609475"/>
    <x v="0"/>
    <x v="0"/>
  </r>
  <r>
    <s v="C083"/>
    <n v="30"/>
    <s v="Male"/>
    <n v="100.81"/>
    <n v="14.39"/>
    <x v="3"/>
    <x v="4"/>
    <n v="2"/>
    <n v="2.6"/>
    <x v="0"/>
    <n v="14.159684100694896"/>
    <x v="0"/>
    <x v="1"/>
  </r>
  <r>
    <s v="C084"/>
    <n v="29"/>
    <s v="Female"/>
    <n v="101.16"/>
    <n v="14.14"/>
    <x v="3"/>
    <x v="0"/>
    <n v="3"/>
    <n v="1.3"/>
    <x v="0"/>
    <n v="13.817573013462967"/>
    <x v="0"/>
    <x v="1"/>
  </r>
  <r>
    <s v="C085"/>
    <n v="57"/>
    <s v="Female"/>
    <n v="115.19"/>
    <n v="20.76"/>
    <x v="0"/>
    <x v="4"/>
    <n v="0"/>
    <n v="1"/>
    <x v="0"/>
    <n v="15.645800657682841"/>
    <x v="0"/>
    <x v="2"/>
  </r>
  <r>
    <s v="C086"/>
    <n v="56"/>
    <s v="Male"/>
    <n v="110.72"/>
    <n v="20.149999999999999"/>
    <x v="1"/>
    <x v="1"/>
    <n v="1"/>
    <n v="2"/>
    <x v="4"/>
    <n v="16.43701290971967"/>
    <x v="0"/>
    <x v="2"/>
  </r>
  <r>
    <s v="C087"/>
    <n v="56"/>
    <s v="Female"/>
    <n v="106.73"/>
    <n v="24.09"/>
    <x v="1"/>
    <x v="1"/>
    <n v="3"/>
    <n v="1.7"/>
    <x v="4"/>
    <n v="21.147731176326783"/>
    <x v="1"/>
    <x v="2"/>
  </r>
  <r>
    <s v="C088"/>
    <n v="25"/>
    <s v="Female"/>
    <n v="99.72"/>
    <n v="14.9"/>
    <x v="4"/>
    <x v="0"/>
    <n v="3"/>
    <n v="2.2000000000000002"/>
    <x v="1"/>
    <n v="14.983791760933824"/>
    <x v="0"/>
    <x v="1"/>
  </r>
  <r>
    <s v="C089"/>
    <n v="30"/>
    <s v="Female"/>
    <n v="96.45"/>
    <n v="14.77"/>
    <x v="4"/>
    <x v="0"/>
    <n v="0"/>
    <n v="0.6"/>
    <x v="3"/>
    <n v="15.877277353299789"/>
    <x v="0"/>
    <x v="1"/>
  </r>
  <r>
    <s v="C090"/>
    <n v="53"/>
    <s v="Male"/>
    <n v="106.44"/>
    <n v="20.73"/>
    <x v="4"/>
    <x v="2"/>
    <n v="2"/>
    <n v="2"/>
    <x v="0"/>
    <n v="18.29740792193558"/>
    <x v="0"/>
    <x v="2"/>
  </r>
  <r>
    <s v="C091"/>
    <n v="29"/>
    <s v="Female"/>
    <n v="97.77"/>
    <n v="15.72"/>
    <x v="3"/>
    <x v="3"/>
    <n v="0"/>
    <n v="0.9"/>
    <x v="0"/>
    <n v="16.445281479979926"/>
    <x v="0"/>
    <x v="1"/>
  </r>
  <r>
    <s v="C092"/>
    <n v="58"/>
    <s v="Male"/>
    <n v="113.49"/>
    <n v="25.26"/>
    <x v="1"/>
    <x v="4"/>
    <n v="3"/>
    <n v="3"/>
    <x v="4"/>
    <n v="19.611831543124822"/>
    <x v="1"/>
    <x v="2"/>
  </r>
  <r>
    <s v="C093"/>
    <n v="26"/>
    <s v="Male"/>
    <n v="92.08"/>
    <n v="15.29"/>
    <x v="4"/>
    <x v="1"/>
    <n v="2"/>
    <n v="2.6"/>
    <x v="2"/>
    <n v="18.033368785198682"/>
    <x v="0"/>
    <x v="1"/>
  </r>
  <r>
    <s v="C094"/>
    <n v="25"/>
    <s v="Female"/>
    <n v="96.42"/>
    <n v="15.34"/>
    <x v="4"/>
    <x v="2"/>
    <n v="2"/>
    <n v="0.9"/>
    <x v="2"/>
    <n v="16.500272071630885"/>
    <x v="0"/>
    <x v="1"/>
  </r>
  <r>
    <s v="C095"/>
    <n v="59"/>
    <s v="Female"/>
    <n v="108.1"/>
    <n v="19.25"/>
    <x v="0"/>
    <x v="3"/>
    <n v="1"/>
    <n v="1"/>
    <x v="0"/>
    <n v="16.47325214515973"/>
    <x v="0"/>
    <x v="2"/>
  </r>
  <r>
    <s v="C096"/>
    <n v="50"/>
    <s v="Female"/>
    <n v="109.15"/>
    <n v="22.09"/>
    <x v="0"/>
    <x v="4"/>
    <n v="0"/>
    <n v="0.6"/>
    <x v="1"/>
    <n v="18.541643890060385"/>
    <x v="1"/>
    <x v="2"/>
  </r>
  <r>
    <s v="C097"/>
    <n v="48"/>
    <s v="Male"/>
    <n v="107.71"/>
    <n v="19.079999999999998"/>
    <x v="1"/>
    <x v="0"/>
    <n v="2"/>
    <n v="1.8"/>
    <x v="2"/>
    <n v="16.446228448404973"/>
    <x v="0"/>
    <x v="0"/>
  </r>
  <r>
    <s v="C098"/>
    <n v="57"/>
    <s v="Male"/>
    <n v="112.41"/>
    <n v="21.55"/>
    <x v="3"/>
    <x v="4"/>
    <n v="0"/>
    <n v="0.9"/>
    <x v="0"/>
    <n v="17.054436677671966"/>
    <x v="0"/>
    <x v="2"/>
  </r>
  <r>
    <s v="C099"/>
    <n v="45"/>
    <s v="Male"/>
    <n v="110.12"/>
    <n v="18.510000000000002"/>
    <x v="1"/>
    <x v="0"/>
    <n v="0"/>
    <n v="0.9"/>
    <x v="3"/>
    <n v="15.264198789050129"/>
    <x v="0"/>
    <x v="0"/>
  </r>
  <r>
    <s v="C100"/>
    <n v="49"/>
    <s v="Male"/>
    <n v="106.6"/>
    <n v="21.21"/>
    <x v="1"/>
    <x v="3"/>
    <n v="2"/>
    <n v="2.5"/>
    <x v="3"/>
    <n v="18.664925428298883"/>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99F806-E895-4A2F-8F6E-E7D80EC9F8E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D8" firstHeaderRow="1" firstDataRow="2" firstDataCol="1"/>
  <pivotFields count="13">
    <pivotField dataField="1" showAll="0"/>
    <pivotField showAll="0"/>
    <pivotField showAll="0"/>
    <pivotField showAll="0"/>
    <pivotField showAll="0"/>
    <pivotField showAll="0"/>
    <pivotField showAll="0"/>
    <pivotField showAll="0"/>
    <pivotField showAll="0"/>
    <pivotField showAll="0"/>
    <pivotField numFmtId="2" showAll="0"/>
    <pivotField axis="axisCol" showAll="0">
      <items count="3">
        <item x="1"/>
        <item x="0"/>
        <item t="default"/>
      </items>
    </pivotField>
    <pivotField axis="axisRow" showAll="0">
      <items count="4">
        <item x="1"/>
        <item x="0"/>
        <item x="2"/>
        <item t="default"/>
      </items>
    </pivotField>
  </pivotFields>
  <rowFields count="1">
    <field x="12"/>
  </rowFields>
  <rowItems count="4">
    <i>
      <x/>
    </i>
    <i>
      <x v="1"/>
    </i>
    <i>
      <x v="2"/>
    </i>
    <i t="grand">
      <x/>
    </i>
  </rowItems>
  <colFields count="1">
    <field x="11"/>
  </colFields>
  <colItems count="3">
    <i>
      <x/>
    </i>
    <i>
      <x v="1"/>
    </i>
    <i t="grand">
      <x/>
    </i>
  </colItems>
  <dataFields count="1">
    <dataField name="Count of ChildID" fld="0" subtotal="count" baseField="0" baseItem="0"/>
  </dataFields>
  <chartFormats count="4">
    <chartFormat chart="2" format="2" series="1">
      <pivotArea type="data" outline="0" fieldPosition="0">
        <references count="2">
          <reference field="4294967294" count="1" selected="0">
            <x v="0"/>
          </reference>
          <reference field="11" count="1" selected="0">
            <x v="0"/>
          </reference>
        </references>
      </pivotArea>
    </chartFormat>
    <chartFormat chart="2" format="3" series="1">
      <pivotArea type="data" outline="0" fieldPosition="0">
        <references count="2">
          <reference field="4294967294" count="1" selected="0">
            <x v="0"/>
          </reference>
          <reference field="11" count="1" selected="0">
            <x v="1"/>
          </reference>
        </references>
      </pivotArea>
    </chartFormat>
    <chartFormat chart="8" format="0" series="1">
      <pivotArea type="data" outline="0" fieldPosition="0">
        <references count="2">
          <reference field="4294967294" count="1" selected="0">
            <x v="0"/>
          </reference>
          <reference field="11" count="1" selected="0">
            <x v="0"/>
          </reference>
        </references>
      </pivotArea>
    </chartFormat>
    <chartFormat chart="8" format="1" series="1">
      <pivotArea type="data" outline="0" fieldPosition="0">
        <references count="2">
          <reference field="4294967294" count="1" selected="0">
            <x v="0"/>
          </reference>
          <reference field="11" count="1" selected="0">
            <x v="1"/>
          </reference>
        </references>
      </pivotArea>
    </chartFormat>
  </chartFormats>
  <pivotTableStyleInfo name="PivotStyleMedium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21A13C-B5AA-4B10-9339-93B4972781A2}"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M23:N29" firstHeaderRow="1" firstDataRow="1" firstDataCol="1"/>
  <pivotFields count="13">
    <pivotField showAll="0"/>
    <pivotField showAll="0"/>
    <pivotField showAll="0"/>
    <pivotField showAll="0"/>
    <pivotField showAll="0"/>
    <pivotField showAll="0"/>
    <pivotField showAll="0"/>
    <pivotField showAll="0"/>
    <pivotField showAll="0"/>
    <pivotField axis="axisRow" showAll="0">
      <items count="6">
        <item x="1"/>
        <item x="2"/>
        <item x="3"/>
        <item x="0"/>
        <item x="4"/>
        <item t="default"/>
      </items>
    </pivotField>
    <pivotField dataField="1" numFmtId="2" showAll="0"/>
    <pivotField showAll="0"/>
    <pivotField showAll="0"/>
  </pivotFields>
  <rowFields count="1">
    <field x="9"/>
  </rowFields>
  <rowItems count="6">
    <i>
      <x/>
    </i>
    <i>
      <x v="1"/>
    </i>
    <i>
      <x v="2"/>
    </i>
    <i>
      <x v="3"/>
    </i>
    <i>
      <x v="4"/>
    </i>
    <i t="grand">
      <x/>
    </i>
  </rowItems>
  <colItems count="1">
    <i/>
  </colItems>
  <dataFields count="1">
    <dataField name="Average of BMI" fld="10" subtotal="average" baseField="9" baseItem="0" numFmtId="2"/>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3B698C-42D7-4D90-9ED1-5296A2BC416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G10" firstHeaderRow="1" firstDataRow="2" firstDataCol="1"/>
  <pivotFields count="13">
    <pivotField showAll="0"/>
    <pivotField showAll="0"/>
    <pivotField showAll="0"/>
    <pivotField showAll="0"/>
    <pivotField showAll="0"/>
    <pivotField axis="axisRow" showAll="0">
      <items count="6">
        <item x="1"/>
        <item x="0"/>
        <item x="3"/>
        <item x="2"/>
        <item x="4"/>
        <item t="default"/>
      </items>
    </pivotField>
    <pivotField axis="axisCol" showAll="0">
      <items count="6">
        <item x="3"/>
        <item x="1"/>
        <item x="0"/>
        <item x="2"/>
        <item x="4"/>
        <item t="default"/>
      </items>
    </pivotField>
    <pivotField showAll="0"/>
    <pivotField showAll="0"/>
    <pivotField showAll="0">
      <items count="6">
        <item x="1"/>
        <item x="2"/>
        <item x="3"/>
        <item x="0"/>
        <item x="4"/>
        <item t="default"/>
      </items>
    </pivotField>
    <pivotField dataField="1" numFmtId="2" showAll="0"/>
    <pivotField showAll="0"/>
    <pivotField showAll="0"/>
  </pivotFields>
  <rowFields count="1">
    <field x="5"/>
  </rowFields>
  <rowItems count="6">
    <i>
      <x/>
    </i>
    <i>
      <x v="1"/>
    </i>
    <i>
      <x v="2"/>
    </i>
    <i>
      <x v="3"/>
    </i>
    <i>
      <x v="4"/>
    </i>
    <i t="grand">
      <x/>
    </i>
  </rowItems>
  <colFields count="1">
    <field x="6"/>
  </colFields>
  <colItems count="6">
    <i>
      <x/>
    </i>
    <i>
      <x v="1"/>
    </i>
    <i>
      <x v="2"/>
    </i>
    <i>
      <x v="3"/>
    </i>
    <i>
      <x v="4"/>
    </i>
    <i t="grand">
      <x/>
    </i>
  </colItems>
  <dataFields count="1">
    <dataField name="Average of BMI" fld="10" subtotal="average" baseField="5" baseItem="0" numFmtId="2"/>
  </dataFields>
  <conditionalFormats count="5">
    <conditionalFormat priority="1">
      <pivotAreas count="1">
        <pivotArea type="data" collapsedLevelsAreSubtotals="1" fieldPosition="0">
          <references count="3">
            <reference field="4294967294" count="1" selected="0">
              <x v="0"/>
            </reference>
            <reference field="5" count="5">
              <x v="0"/>
              <x v="1"/>
              <x v="2"/>
              <x v="3"/>
              <x v="4"/>
            </reference>
            <reference field="6" count="1" selected="0">
              <x v="4"/>
            </reference>
          </references>
        </pivotArea>
      </pivotAreas>
    </conditionalFormat>
    <conditionalFormat priority="2">
      <pivotAreas count="1">
        <pivotArea type="data" collapsedLevelsAreSubtotals="1" fieldPosition="0">
          <references count="3">
            <reference field="4294967294" count="1" selected="0">
              <x v="0"/>
            </reference>
            <reference field="5" count="5">
              <x v="0"/>
              <x v="1"/>
              <x v="2"/>
              <x v="3"/>
              <x v="4"/>
            </reference>
            <reference field="6" count="1" selected="0">
              <x v="3"/>
            </reference>
          </references>
        </pivotArea>
      </pivotAreas>
    </conditionalFormat>
    <conditionalFormat priority="3">
      <pivotAreas count="1">
        <pivotArea type="data" collapsedLevelsAreSubtotals="1" fieldPosition="0">
          <references count="3">
            <reference field="4294967294" count="1" selected="0">
              <x v="0"/>
            </reference>
            <reference field="5" count="5">
              <x v="0"/>
              <x v="1"/>
              <x v="2"/>
              <x v="3"/>
              <x v="4"/>
            </reference>
            <reference field="6" count="1" selected="0">
              <x v="2"/>
            </reference>
          </references>
        </pivotArea>
      </pivotAreas>
    </conditionalFormat>
    <conditionalFormat priority="4">
      <pivotAreas count="1">
        <pivotArea type="data" collapsedLevelsAreSubtotals="1" fieldPosition="0">
          <references count="3">
            <reference field="4294967294" count="1" selected="0">
              <x v="0"/>
            </reference>
            <reference field="5" count="5">
              <x v="0"/>
              <x v="1"/>
              <x v="2"/>
              <x v="3"/>
              <x v="4"/>
            </reference>
            <reference field="6" count="1" selected="0">
              <x v="1"/>
            </reference>
          </references>
        </pivotArea>
      </pivotAreas>
    </conditionalFormat>
    <conditionalFormat priority="5">
      <pivotAreas count="1">
        <pivotArea type="data" collapsedLevelsAreSubtotals="1" fieldPosition="0">
          <references count="3">
            <reference field="4294967294" count="1" selected="0">
              <x v="0"/>
            </reference>
            <reference field="5" count="5">
              <x v="0"/>
              <x v="1"/>
              <x v="2"/>
              <x v="3"/>
              <x v="4"/>
            </reference>
            <reference field="6" count="1" selected="0">
              <x v="0"/>
            </reference>
          </references>
        </pivotArea>
      </pivotAreas>
    </conditionalFormat>
  </conditional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9B9F6A-7D40-4CF0-880C-D9D7658634F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B6:D9" firstHeaderRow="0" firstDataRow="1" firstDataCol="1"/>
  <pivotFields count="13">
    <pivotField showAll="0"/>
    <pivotField showAll="0"/>
    <pivotField showAll="0"/>
    <pivotField showAll="0"/>
    <pivotField showAll="0"/>
    <pivotField showAll="0"/>
    <pivotField showAll="0"/>
    <pivotField dataField="1" showAll="0"/>
    <pivotField dataField="1" showAll="0"/>
    <pivotField showAll="0"/>
    <pivotField numFmtId="2" showAll="0"/>
    <pivotField axis="axisRow" showAll="0">
      <items count="3">
        <item x="1"/>
        <item x="0"/>
        <item t="default"/>
      </items>
    </pivotField>
    <pivotField showAll="0"/>
  </pivotFields>
  <rowFields count="1">
    <field x="11"/>
  </rowFields>
  <rowItems count="3">
    <i>
      <x/>
    </i>
    <i>
      <x v="1"/>
    </i>
    <i t="grand">
      <x/>
    </i>
  </rowItems>
  <colFields count="1">
    <field x="-2"/>
  </colFields>
  <colItems count="2">
    <i>
      <x/>
    </i>
    <i i="1">
      <x v="1"/>
    </i>
  </colItems>
  <dataFields count="2">
    <dataField name="Average of Daily_Sugar_Drinks" fld="7" subtotal="average" baseField="11" baseItem="0"/>
    <dataField name="Average of ScreenTime_Hours" fld="8" subtotal="average" baseField="11" baseItem="0" numFmtId="2"/>
  </dataFields>
  <formats count="2">
    <format dxfId="4">
      <pivotArea collapsedLevelsAreSubtotals="1" fieldPosition="0">
        <references count="2">
          <reference field="4294967294" count="1" selected="0">
            <x v="0"/>
          </reference>
          <reference field="11" count="0"/>
        </references>
      </pivotArea>
    </format>
    <format dxfId="3">
      <pivotArea outline="0" collapsedLevelsAreSubtotals="1" fieldPosition="0">
        <references count="1">
          <reference field="4294967294" count="1" selected="0">
            <x v="1"/>
          </reference>
        </references>
      </pivotArea>
    </format>
  </formats>
  <chartFormats count="4">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1"/>
          </reference>
        </references>
      </pivotArea>
    </chartFormat>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D34582B-8AC4-4E1B-BD78-FB663FED9E3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E9" firstHeaderRow="0" firstDataRow="1" firstDataCol="1"/>
  <pivotFields count="13">
    <pivotField showAll="0"/>
    <pivotField showAll="0"/>
    <pivotField showAll="0"/>
    <pivotField showAll="0"/>
    <pivotField showAll="0"/>
    <pivotField showAll="0"/>
    <pivotField dataField="1" showAll="0"/>
    <pivotField dataField="1" showAll="0"/>
    <pivotField dataField="1" showAll="0"/>
    <pivotField axis="axisRow" showAll="0">
      <items count="6">
        <item x="1"/>
        <item x="2"/>
        <item x="3"/>
        <item x="0"/>
        <item x="4"/>
        <item t="default"/>
      </items>
    </pivotField>
    <pivotField dataField="1" numFmtId="2" showAll="0"/>
    <pivotField showAll="0"/>
    <pivotField showAll="0"/>
  </pivotFields>
  <rowFields count="1">
    <field x="9"/>
  </rowFields>
  <rowItems count="6">
    <i>
      <x/>
    </i>
    <i>
      <x v="1"/>
    </i>
    <i>
      <x v="2"/>
    </i>
    <i>
      <x v="3"/>
    </i>
    <i>
      <x v="4"/>
    </i>
    <i t="grand">
      <x/>
    </i>
  </rowItems>
  <colFields count="1">
    <field x="-2"/>
  </colFields>
  <colItems count="4">
    <i>
      <x/>
    </i>
    <i i="1">
      <x v="1"/>
    </i>
    <i i="2">
      <x v="2"/>
    </i>
    <i i="3">
      <x v="3"/>
    </i>
  </colItems>
  <dataFields count="4">
    <dataField name="Average of BMI" fld="10" subtotal="average" baseField="9" baseItem="0" numFmtId="2"/>
    <dataField name="Average of ScreenTime_Hours" fld="8" subtotal="average" baseField="9" baseItem="0" numFmtId="2"/>
    <dataField name="Average of Daily_Sugar_Drinks" fld="7" subtotal="average" baseField="9" baseItem="0" numFmtId="2"/>
    <dataField name="Average of Daily_Veggie_Servings" fld="6" subtotal="average" baseField="9" baseItem="0"/>
  </dataFields>
  <formats count="3">
    <format dxfId="2">
      <pivotArea outline="0" collapsedLevelsAreSubtotals="1" fieldPosition="0">
        <references count="1">
          <reference field="4294967294" count="1" selected="0">
            <x v="1"/>
          </reference>
        </references>
      </pivotArea>
    </format>
    <format dxfId="1">
      <pivotArea outline="0" collapsedLevelsAreSubtotals="1" fieldPosition="0">
        <references count="1">
          <reference field="4294967294" count="1" selected="0">
            <x v="2"/>
          </reference>
        </references>
      </pivotArea>
    </format>
    <format dxfId="0">
      <pivotArea collapsedLevelsAreSubtotals="1" fieldPosition="0">
        <references count="2">
          <reference field="4294967294" count="1" selected="0">
            <x v="3"/>
          </reference>
          <reference field="9" count="4">
            <x v="1"/>
            <x v="2"/>
            <x v="3"/>
            <x v="4"/>
          </reference>
        </references>
      </pivotArea>
    </format>
  </formats>
  <conditionalFormats count="4">
    <conditionalFormat priority="1">
      <pivotAreas count="1">
        <pivotArea type="data" collapsedLevelsAreSubtotals="1" fieldPosition="0">
          <references count="2">
            <reference field="4294967294" count="1" selected="0">
              <x v="3"/>
            </reference>
            <reference field="9" count="5">
              <x v="0"/>
              <x v="1"/>
              <x v="2"/>
              <x v="3"/>
              <x v="4"/>
            </reference>
          </references>
        </pivotArea>
      </pivotAreas>
    </conditionalFormat>
    <conditionalFormat priority="2">
      <pivotAreas count="1">
        <pivotArea type="data" collapsedLevelsAreSubtotals="1" fieldPosition="0">
          <references count="2">
            <reference field="4294967294" count="1" selected="0">
              <x v="2"/>
            </reference>
            <reference field="9" count="5">
              <x v="0"/>
              <x v="1"/>
              <x v="2"/>
              <x v="3"/>
              <x v="4"/>
            </reference>
          </references>
        </pivotArea>
      </pivotAreas>
    </conditionalFormat>
    <conditionalFormat priority="3">
      <pivotAreas count="1">
        <pivotArea type="data" collapsedLevelsAreSubtotals="1" fieldPosition="0">
          <references count="2">
            <reference field="4294967294" count="1" selected="0">
              <x v="1"/>
            </reference>
            <reference field="9" count="5">
              <x v="0"/>
              <x v="1"/>
              <x v="2"/>
              <x v="3"/>
              <x v="4"/>
            </reference>
          </references>
        </pivotArea>
      </pivotAreas>
    </conditionalFormat>
    <conditionalFormat priority="4">
      <pivotAreas count="1">
        <pivotArea type="data" collapsedLevelsAreSubtotals="1" fieldPosition="0">
          <references count="2">
            <reference field="4294967294" count="1" selected="0">
              <x v="0"/>
            </reference>
            <reference field="9" count="5">
              <x v="0"/>
              <x v="1"/>
              <x v="2"/>
              <x v="3"/>
              <x v="4"/>
            </reference>
          </references>
        </pivotArea>
      </pivotAreas>
    </conditionalFormat>
  </conditionalFormats>
  <chartFormats count="8">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2"/>
          </reference>
        </references>
      </pivotArea>
    </chartFormat>
    <chartFormat chart="3" format="7" series="1">
      <pivotArea type="data" outline="0" fieldPosition="0">
        <references count="1">
          <reference field="4294967294" count="1" selected="0">
            <x v="3"/>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4"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D546254-B718-4961-AF2D-860DF8BB1D6E}" autoFormatId="16" applyNumberFormats="0" applyBorderFormats="0" applyFontFormats="0" applyPatternFormats="0" applyAlignmentFormats="0" applyWidthHeightFormats="0">
  <queryTableRefresh nextId="14" unboundColumnsRight="3">
    <queryTableFields count="13">
      <queryTableField id="1" name="ChildID" tableColumnId="1"/>
      <queryTableField id="2" name="Age_Months" tableColumnId="2"/>
      <queryTableField id="3" name="Gender" tableColumnId="3"/>
      <queryTableField id="4" name="Height_cm" tableColumnId="4"/>
      <queryTableField id="5" name="Weight_kg" tableColumnId="5"/>
      <queryTableField id="6" name="Daily_Fruit_Servings" tableColumnId="6"/>
      <queryTableField id="7" name="Daily_Veggie_Servings" tableColumnId="7"/>
      <queryTableField id="8" name="Daily_Sugar_Drinks" tableColumnId="8"/>
      <queryTableField id="9" name="ScreenTime_Hours" tableColumnId="9"/>
      <queryTableField id="10" name="Region" tableColumnId="10"/>
      <queryTableField id="11" dataBound="0" tableColumnId="11"/>
      <queryTableField id="12" dataBound="0" tableColumnId="12"/>
      <queryTableField id="13" dataBound="0"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ily_Fruit_Servings" xr10:uid="{1D7DA38F-0B47-4047-A1FB-C8D069AFA6D5}" sourceName="Daily_Fruit_Servings">
  <pivotTables>
    <pivotTable tabId="5" name="PivotTable8"/>
  </pivotTables>
  <data>
    <tabular pivotCacheId="555303278">
      <items count="5">
        <i x="1" s="1"/>
        <i x="0" s="1"/>
        <i x="3"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ily_Veggie_Servings" xr10:uid="{5825464C-DEDD-4A0D-885B-5B7DFF0A0EA0}" sourceName="Daily_Veggie_Servings">
  <pivotTables>
    <pivotTable tabId="5" name="PivotTable8"/>
  </pivotTables>
  <data>
    <tabular pivotCacheId="555303278">
      <items count="5">
        <i x="3" s="1"/>
        <i x="1" s="1"/>
        <i x="0"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24B9190-8C9C-4665-9FA3-D4BA94062270}" sourceName="Region">
  <pivotTables>
    <pivotTable tabId="5" name="PivotTable8"/>
  </pivotTables>
  <data>
    <tabular pivotCacheId="555303278">
      <items count="5">
        <i x="1" s="1"/>
        <i x="2" s="1"/>
        <i x="3"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ily_Fruit_Servings" xr10:uid="{FE4D0357-E2F7-4807-B991-2DF8CBBC4138}" cache="Slicer_Daily_Fruit_Servings" caption="Daily_Fruit_Servings" style="SlicerStyleDark6" rowHeight="251883"/>
  <slicer name="Daily_Veggie_Servings" xr10:uid="{DC725564-F8D2-4D71-8A91-1A271B471B92}" cache="Slicer_Daily_Veggie_Servings" caption="Daily_Veggie_Servings" style="SlicerStyleLight2" rowHeight="251883"/>
  <slicer name="Region" xr10:uid="{FCF8533A-759E-41D3-AFF4-91A633B5168D}" cache="Slicer_Region" caption="Region" style="SlicerStyleLight3"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17E1D4-4029-4345-9580-D9DFF5C1ABCA}" name="Child_Health_Data" displayName="Child_Health_Data" ref="A1:M101" tableType="queryTable" totalsRowShown="0">
  <autoFilter ref="A1:M101" xr:uid="{B517E1D4-4029-4345-9580-D9DFF5C1ABCA}"/>
  <tableColumns count="13">
    <tableColumn id="1" xr3:uid="{4E011D8B-05C4-4302-8C5F-4C66ADE2BB29}" uniqueName="1" name="ChildID" queryTableFieldId="1" dataDxfId="10"/>
    <tableColumn id="2" xr3:uid="{AF4DE738-C11E-4741-9963-2AB1F828413D}" uniqueName="2" name="Age_Months" queryTableFieldId="2"/>
    <tableColumn id="3" xr3:uid="{4E08AFBA-93F7-4D39-B140-8516DA8C85B7}" uniqueName="3" name="Gender" queryTableFieldId="3" dataDxfId="9"/>
    <tableColumn id="4" xr3:uid="{09EED7DA-64EB-4C9B-869F-AA5009EDFFA8}" uniqueName="4" name="Height_cm" queryTableFieldId="4"/>
    <tableColumn id="5" xr3:uid="{6346D0F8-93A6-4859-9626-D0C03ABD395D}" uniqueName="5" name="Weight_kg" queryTableFieldId="5"/>
    <tableColumn id="6" xr3:uid="{8E0B9186-7CEC-4480-BB9D-0C0637611850}" uniqueName="6" name="Daily_Fruit_Servings" queryTableFieldId="6"/>
    <tableColumn id="7" xr3:uid="{833F5FED-092F-433C-8EDD-A22D4C188C7C}" uniqueName="7" name="Daily_Veggie_Servings" queryTableFieldId="7"/>
    <tableColumn id="8" xr3:uid="{F4690389-46EE-434E-9BA7-7A1700FC3B4A}" uniqueName="8" name="Daily_Sugar_Drinks" queryTableFieldId="8"/>
    <tableColumn id="9" xr3:uid="{2C5D291F-D562-44FC-87C0-7022BDE4296F}" uniqueName="9" name="ScreenTime_Hours" queryTableFieldId="9"/>
    <tableColumn id="10" xr3:uid="{781C7B31-4F09-4CE4-893E-14CA3708A234}" uniqueName="10" name="Region" queryTableFieldId="10" dataDxfId="8"/>
    <tableColumn id="11" xr3:uid="{A2734F4D-BA4D-49EB-939C-5AE4E92EDBDB}" uniqueName="11" name="BMI" queryTableFieldId="11" dataDxfId="7">
      <calculatedColumnFormula>Child_Health_Data[[#This Row],[Weight_kg]]/(Child_Health_Data[[#This Row],[Height_cm]]/100)^2</calculatedColumnFormula>
    </tableColumn>
    <tableColumn id="12" xr3:uid="{F93EE348-34EA-42E2-B694-C80B8A4A2B2E}" uniqueName="12" name="Health Status" queryTableFieldId="12" dataDxfId="6">
      <calculatedColumnFormula>IF(K2&lt;18.5,"Underweight",IF(K2&lt;=24.9,"Healthy Weight",IF(K2&lt;=29.9,"Overweight","Obese")))</calculatedColumnFormula>
    </tableColumn>
    <tableColumn id="13" xr3:uid="{D58E9DC2-024A-4C0D-A089-90A4CD53C603}" uniqueName="13" name="Age Group" queryTableFieldId="13" dataDxfId="5">
      <calculatedColumnFormula>IF(B2&lt;=24,"0-24 months",IF(B2&lt;=36,"25-36 months",IF(B2&lt;=48,"37-48 months",IF(B2&lt;=60,"49-60 months","61+ months"))))</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Berlin">
  <a:themeElements>
    <a:clrScheme name="Berlin">
      <a:dk1>
        <a:sysClr val="windowText" lastClr="000000"/>
      </a:dk1>
      <a:lt1>
        <a:sysClr val="window" lastClr="FFFFFF"/>
      </a:lt1>
      <a:dk2>
        <a:srgbClr val="9D360E"/>
      </a:dk2>
      <a:lt2>
        <a:srgbClr val="E7E6E6"/>
      </a:lt2>
      <a:accent1>
        <a:srgbClr val="F09415"/>
      </a:accent1>
      <a:accent2>
        <a:srgbClr val="C1B56B"/>
      </a:accent2>
      <a:accent3>
        <a:srgbClr val="4BAF73"/>
      </a:accent3>
      <a:accent4>
        <a:srgbClr val="5AA6C0"/>
      </a:accent4>
      <a:accent5>
        <a:srgbClr val="D17DF9"/>
      </a:accent5>
      <a:accent6>
        <a:srgbClr val="FA7E5C"/>
      </a:accent6>
      <a:hlink>
        <a:srgbClr val="FFAE3E"/>
      </a:hlink>
      <a:folHlink>
        <a:srgbClr val="FCC77E"/>
      </a:folHlink>
    </a:clrScheme>
    <a:fontScheme name="Berlin">
      <a:majorFont>
        <a:latin typeface="Trebuchet MS" panose="020B0603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rebuchet MS" panose="020B0603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erlin">
      <a:fillStyleLst>
        <a:solidFill>
          <a:schemeClr val="phClr"/>
        </a:solidFill>
        <a:gradFill rotWithShape="1">
          <a:gsLst>
            <a:gs pos="0">
              <a:schemeClr val="phClr">
                <a:tint val="60000"/>
                <a:satMod val="100000"/>
                <a:lumMod val="110000"/>
              </a:schemeClr>
            </a:gs>
            <a:gs pos="100000">
              <a:schemeClr val="phClr">
                <a:tint val="70000"/>
                <a:satMod val="100000"/>
                <a:lumMod val="100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6000"/>
                <a:shade val="100000"/>
                <a:hueMod val="270000"/>
                <a:satMod val="200000"/>
                <a:lumMod val="128000"/>
              </a:schemeClr>
            </a:gs>
            <a:gs pos="50000">
              <a:schemeClr val="phClr">
                <a:shade val="100000"/>
                <a:hueMod val="100000"/>
                <a:satMod val="110000"/>
                <a:lumMod val="130000"/>
              </a:schemeClr>
            </a:gs>
            <a:gs pos="100000">
              <a:schemeClr val="phClr">
                <a:shade val="78000"/>
                <a:hueMod val="44000"/>
                <a:satMod val="200000"/>
                <a:lumMod val="69000"/>
              </a:schemeClr>
            </a:gs>
          </a:gsLst>
          <a:lin ang="2520000" scaled="0"/>
        </a:gradFill>
      </a:bgFillStyleLst>
    </a:fmtScheme>
  </a:themeElements>
  <a:objectDefaults/>
  <a:extraClrSchemeLst/>
  <a:extLst>
    <a:ext uri="{05A4C25C-085E-4340-85A3-A5531E510DB2}">
      <thm15:themeFamily xmlns:thm15="http://schemas.microsoft.com/office/thememl/2012/main" name="Berlin" id="{7B5DBA9E-B069-418E-9360-A61BDD0615A4}" vid="{C0CBE056-4EF4-4D92-969E-947779DA7AA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883EF-7367-4E44-8834-5806E2A5DCD0}">
  <dimension ref="A1:M101"/>
  <sheetViews>
    <sheetView topLeftCell="D2" workbookViewId="0">
      <selection activeCell="I7" sqref="I7"/>
    </sheetView>
  </sheetViews>
  <sheetFormatPr defaultRowHeight="14.5" x14ac:dyDescent="0.35"/>
  <cols>
    <col min="1" max="1" width="9" bestFit="1" customWidth="1"/>
    <col min="2" max="2" width="13.25" bestFit="1" customWidth="1"/>
    <col min="3" max="3" width="9.33203125" bestFit="1" customWidth="1"/>
    <col min="4" max="4" width="12.25" bestFit="1" customWidth="1"/>
    <col min="5" max="5" width="12" bestFit="1" customWidth="1"/>
    <col min="6" max="6" width="20.9140625" bestFit="1" customWidth="1"/>
    <col min="7" max="7" width="22.4140625" bestFit="1" customWidth="1"/>
    <col min="8" max="8" width="19.58203125" bestFit="1" customWidth="1"/>
    <col min="9" max="9" width="19.25" bestFit="1" customWidth="1"/>
    <col min="10" max="10" width="8.75" customWidth="1"/>
    <col min="11" max="11" width="5.9140625" bestFit="1" customWidth="1"/>
    <col min="12" max="12" width="14.5" bestFit="1" customWidth="1"/>
    <col min="13" max="13" width="12" bestFit="1" customWidth="1"/>
  </cols>
  <sheetData>
    <row r="1" spans="1:13" x14ac:dyDescent="0.35">
      <c r="A1" t="s">
        <v>0</v>
      </c>
      <c r="B1" t="s">
        <v>1</v>
      </c>
      <c r="C1" t="s">
        <v>2</v>
      </c>
      <c r="D1" t="s">
        <v>3</v>
      </c>
      <c r="E1" t="s">
        <v>4</v>
      </c>
      <c r="F1" t="s">
        <v>5</v>
      </c>
      <c r="G1" t="s">
        <v>6</v>
      </c>
      <c r="H1" t="s">
        <v>7</v>
      </c>
      <c r="I1" t="s">
        <v>8</v>
      </c>
      <c r="J1" t="s">
        <v>9</v>
      </c>
      <c r="K1" t="s">
        <v>117</v>
      </c>
      <c r="L1" t="s">
        <v>118</v>
      </c>
      <c r="M1" t="s">
        <v>119</v>
      </c>
    </row>
    <row r="2" spans="1:13" x14ac:dyDescent="0.35">
      <c r="A2" t="s">
        <v>10</v>
      </c>
      <c r="B2">
        <v>47</v>
      </c>
      <c r="C2" t="s">
        <v>11</v>
      </c>
      <c r="D2">
        <v>104.41</v>
      </c>
      <c r="E2">
        <v>17.34</v>
      </c>
      <c r="F2">
        <v>1</v>
      </c>
      <c r="G2">
        <v>2</v>
      </c>
      <c r="H2">
        <v>3</v>
      </c>
      <c r="I2">
        <v>1.2</v>
      </c>
      <c r="J2" t="s">
        <v>12</v>
      </c>
      <c r="K2" s="1">
        <f>Child_Health_Data[[#This Row],[Weight_kg]]/(Child_Health_Data[[#This Row],[Height_cm]]/100)^2</f>
        <v>15.90614369846883</v>
      </c>
      <c r="L2" t="str">
        <f t="shared" ref="L2:L33" si="0">IF(K2&lt;18.5,"Underweight",IF(K2&lt;=24.9,"Healthy Weight",IF(K2&lt;=29.9,"Overweight","Obese")))</f>
        <v>Underweight</v>
      </c>
      <c r="M2" t="str">
        <f t="shared" ref="M2:M33" si="1">IF(B2&lt;=24,"0-24 months",IF(B2&lt;=36,"25-36 months",IF(B2&lt;=48,"37-48 months",IF(B2&lt;=60,"49-60 months","61+ months"))))</f>
        <v>37-48 months</v>
      </c>
    </row>
    <row r="3" spans="1:13" x14ac:dyDescent="0.35">
      <c r="A3" t="s">
        <v>13</v>
      </c>
      <c r="B3">
        <v>34</v>
      </c>
      <c r="C3" t="s">
        <v>11</v>
      </c>
      <c r="D3">
        <v>99.08</v>
      </c>
      <c r="E3">
        <v>16.21</v>
      </c>
      <c r="F3">
        <v>0</v>
      </c>
      <c r="G3">
        <v>1</v>
      </c>
      <c r="H3">
        <v>1</v>
      </c>
      <c r="I3">
        <v>1.4</v>
      </c>
      <c r="J3" t="s">
        <v>14</v>
      </c>
      <c r="K3" s="1">
        <f>Child_Health_Data[[#This Row],[Weight_kg]]/(Child_Health_Data[[#This Row],[Height_cm]]/100)^2</f>
        <v>16.512431120446177</v>
      </c>
      <c r="L3" t="str">
        <f t="shared" si="0"/>
        <v>Underweight</v>
      </c>
      <c r="M3" t="str">
        <f t="shared" si="1"/>
        <v>25-36 months</v>
      </c>
    </row>
    <row r="4" spans="1:13" x14ac:dyDescent="0.35">
      <c r="A4" t="s">
        <v>15</v>
      </c>
      <c r="B4">
        <v>35</v>
      </c>
      <c r="C4" t="s">
        <v>11</v>
      </c>
      <c r="D4">
        <v>94.96</v>
      </c>
      <c r="E4">
        <v>17.3</v>
      </c>
      <c r="F4">
        <v>3</v>
      </c>
      <c r="G4">
        <v>3</v>
      </c>
      <c r="H4">
        <v>2</v>
      </c>
      <c r="I4">
        <v>0.6</v>
      </c>
      <c r="J4" t="s">
        <v>14</v>
      </c>
      <c r="K4" s="1">
        <f>Child_Health_Data[[#This Row],[Weight_kg]]/(Child_Health_Data[[#This Row],[Height_cm]]/100)^2</f>
        <v>19.185127564907393</v>
      </c>
      <c r="L4" t="str">
        <f t="shared" si="0"/>
        <v>Healthy Weight</v>
      </c>
      <c r="M4" t="str">
        <f t="shared" si="1"/>
        <v>25-36 months</v>
      </c>
    </row>
    <row r="5" spans="1:13" x14ac:dyDescent="0.35">
      <c r="A5" t="s">
        <v>16</v>
      </c>
      <c r="B5">
        <v>39</v>
      </c>
      <c r="C5" t="s">
        <v>11</v>
      </c>
      <c r="D5">
        <v>100.65</v>
      </c>
      <c r="E5">
        <v>20.010000000000002</v>
      </c>
      <c r="F5">
        <v>2</v>
      </c>
      <c r="G5">
        <v>0</v>
      </c>
      <c r="H5">
        <v>1</v>
      </c>
      <c r="I5">
        <v>1.5</v>
      </c>
      <c r="J5" t="s">
        <v>14</v>
      </c>
      <c r="K5" s="1">
        <f>Child_Health_Data[[#This Row],[Weight_kg]]/(Child_Health_Data[[#This Row],[Height_cm]]/100)^2</f>
        <v>19.75238446372795</v>
      </c>
      <c r="L5" t="str">
        <f t="shared" si="0"/>
        <v>Healthy Weight</v>
      </c>
      <c r="M5" t="str">
        <f t="shared" si="1"/>
        <v>37-48 months</v>
      </c>
    </row>
    <row r="6" spans="1:13" x14ac:dyDescent="0.35">
      <c r="A6" t="s">
        <v>17</v>
      </c>
      <c r="B6">
        <v>26</v>
      </c>
      <c r="C6" t="s">
        <v>11</v>
      </c>
      <c r="D6">
        <v>90.06</v>
      </c>
      <c r="E6">
        <v>12.16</v>
      </c>
      <c r="F6">
        <v>0</v>
      </c>
      <c r="G6">
        <v>1</v>
      </c>
      <c r="H6">
        <v>0</v>
      </c>
      <c r="I6">
        <v>0.9</v>
      </c>
      <c r="J6" t="s">
        <v>12</v>
      </c>
      <c r="K6" s="1">
        <f>Child_Health_Data[[#This Row],[Weight_kg]]/(Child_Health_Data[[#This Row],[Height_cm]]/100)^2</f>
        <v>14.992349216790304</v>
      </c>
      <c r="L6" t="str">
        <f t="shared" si="0"/>
        <v>Underweight</v>
      </c>
      <c r="M6" t="str">
        <f t="shared" si="1"/>
        <v>25-36 months</v>
      </c>
    </row>
    <row r="7" spans="1:13" x14ac:dyDescent="0.35">
      <c r="A7" t="s">
        <v>18</v>
      </c>
      <c r="B7">
        <v>51</v>
      </c>
      <c r="C7" t="s">
        <v>19</v>
      </c>
      <c r="D7">
        <v>108.82</v>
      </c>
      <c r="E7">
        <v>21.54</v>
      </c>
      <c r="F7">
        <v>0</v>
      </c>
      <c r="G7">
        <v>1</v>
      </c>
      <c r="H7">
        <v>1</v>
      </c>
      <c r="I7">
        <v>0.9</v>
      </c>
      <c r="J7" t="s">
        <v>20</v>
      </c>
      <c r="K7" s="1">
        <f>Child_Health_Data[[#This Row],[Weight_kg]]/(Child_Health_Data[[#This Row],[Height_cm]]/100)^2</f>
        <v>18.189813900132215</v>
      </c>
      <c r="L7" t="str">
        <f t="shared" si="0"/>
        <v>Underweight</v>
      </c>
      <c r="M7" t="str">
        <f t="shared" si="1"/>
        <v>49-60 months</v>
      </c>
    </row>
    <row r="8" spans="1:13" x14ac:dyDescent="0.35">
      <c r="A8" t="s">
        <v>21</v>
      </c>
      <c r="B8">
        <v>52</v>
      </c>
      <c r="C8" t="s">
        <v>19</v>
      </c>
      <c r="D8">
        <v>110.28</v>
      </c>
      <c r="E8">
        <v>21.49</v>
      </c>
      <c r="F8">
        <v>4</v>
      </c>
      <c r="G8">
        <v>0</v>
      </c>
      <c r="H8">
        <v>2</v>
      </c>
      <c r="I8">
        <v>2.8</v>
      </c>
      <c r="J8" t="s">
        <v>12</v>
      </c>
      <c r="K8" s="1">
        <f>Child_Health_Data[[#This Row],[Weight_kg]]/(Child_Health_Data[[#This Row],[Height_cm]]/100)^2</f>
        <v>17.67025840775398</v>
      </c>
      <c r="L8" t="str">
        <f t="shared" si="0"/>
        <v>Underweight</v>
      </c>
      <c r="M8" t="str">
        <f t="shared" si="1"/>
        <v>49-60 months</v>
      </c>
    </row>
    <row r="9" spans="1:13" x14ac:dyDescent="0.35">
      <c r="A9" t="s">
        <v>22</v>
      </c>
      <c r="B9">
        <v>52</v>
      </c>
      <c r="C9" t="s">
        <v>11</v>
      </c>
      <c r="D9">
        <v>102.65</v>
      </c>
      <c r="E9">
        <v>19.55</v>
      </c>
      <c r="F9">
        <v>2</v>
      </c>
      <c r="G9">
        <v>2</v>
      </c>
      <c r="H9">
        <v>1</v>
      </c>
      <c r="I9">
        <v>1.3</v>
      </c>
      <c r="J9" t="s">
        <v>14</v>
      </c>
      <c r="K9" s="1">
        <f>Child_Health_Data[[#This Row],[Weight_kg]]/(Child_Health_Data[[#This Row],[Height_cm]]/100)^2</f>
        <v>18.553628408784363</v>
      </c>
      <c r="L9" t="str">
        <f t="shared" si="0"/>
        <v>Healthy Weight</v>
      </c>
      <c r="M9" t="str">
        <f t="shared" si="1"/>
        <v>49-60 months</v>
      </c>
    </row>
    <row r="10" spans="1:13" x14ac:dyDescent="0.35">
      <c r="A10" t="s">
        <v>23</v>
      </c>
      <c r="B10">
        <v>28</v>
      </c>
      <c r="C10" t="s">
        <v>19</v>
      </c>
      <c r="D10">
        <v>91.47</v>
      </c>
      <c r="E10">
        <v>16.39</v>
      </c>
      <c r="F10">
        <v>3</v>
      </c>
      <c r="G10">
        <v>2</v>
      </c>
      <c r="H10">
        <v>3</v>
      </c>
      <c r="I10">
        <v>0.8</v>
      </c>
      <c r="J10" t="s">
        <v>24</v>
      </c>
      <c r="K10" s="1">
        <f>Child_Health_Data[[#This Row],[Weight_kg]]/(Child_Health_Data[[#This Row],[Height_cm]]/100)^2</f>
        <v>19.589420799631078</v>
      </c>
      <c r="L10" t="str">
        <f t="shared" si="0"/>
        <v>Healthy Weight</v>
      </c>
      <c r="M10" t="str">
        <f t="shared" si="1"/>
        <v>25-36 months</v>
      </c>
    </row>
    <row r="11" spans="1:13" x14ac:dyDescent="0.35">
      <c r="A11" t="s">
        <v>25</v>
      </c>
      <c r="B11">
        <v>44</v>
      </c>
      <c r="C11" t="s">
        <v>11</v>
      </c>
      <c r="D11">
        <v>111.89</v>
      </c>
      <c r="E11">
        <v>17.95</v>
      </c>
      <c r="F11">
        <v>1</v>
      </c>
      <c r="G11">
        <v>3</v>
      </c>
      <c r="H11">
        <v>0</v>
      </c>
      <c r="I11">
        <v>0.8</v>
      </c>
      <c r="J11" t="s">
        <v>14</v>
      </c>
      <c r="K11" s="1">
        <f>Child_Health_Data[[#This Row],[Weight_kg]]/(Child_Health_Data[[#This Row],[Height_cm]]/100)^2</f>
        <v>14.337779767724934</v>
      </c>
      <c r="L11" t="str">
        <f t="shared" si="0"/>
        <v>Underweight</v>
      </c>
      <c r="M11" t="str">
        <f t="shared" si="1"/>
        <v>37-48 months</v>
      </c>
    </row>
    <row r="12" spans="1:13" x14ac:dyDescent="0.35">
      <c r="A12" t="s">
        <v>26</v>
      </c>
      <c r="B12">
        <v>25</v>
      </c>
      <c r="C12" t="s">
        <v>19</v>
      </c>
      <c r="D12">
        <v>96.25</v>
      </c>
      <c r="E12">
        <v>13.5</v>
      </c>
      <c r="F12">
        <v>3</v>
      </c>
      <c r="G12">
        <v>4</v>
      </c>
      <c r="H12">
        <v>0</v>
      </c>
      <c r="I12">
        <v>0.6</v>
      </c>
      <c r="J12" t="s">
        <v>27</v>
      </c>
      <c r="K12" s="1">
        <f>Child_Health_Data[[#This Row],[Weight_kg]]/(Child_Health_Data[[#This Row],[Height_cm]]/100)^2</f>
        <v>14.572440546466519</v>
      </c>
      <c r="L12" t="str">
        <f t="shared" si="0"/>
        <v>Underweight</v>
      </c>
      <c r="M12" t="str">
        <f t="shared" si="1"/>
        <v>25-36 months</v>
      </c>
    </row>
    <row r="13" spans="1:13" x14ac:dyDescent="0.35">
      <c r="A13" t="s">
        <v>28</v>
      </c>
      <c r="B13">
        <v>32</v>
      </c>
      <c r="C13" t="s">
        <v>11</v>
      </c>
      <c r="D13">
        <v>96.02</v>
      </c>
      <c r="E13">
        <v>16.55</v>
      </c>
      <c r="F13">
        <v>2</v>
      </c>
      <c r="G13">
        <v>0</v>
      </c>
      <c r="H13">
        <v>2</v>
      </c>
      <c r="I13">
        <v>1</v>
      </c>
      <c r="J13" t="s">
        <v>24</v>
      </c>
      <c r="K13" s="1">
        <f>Child_Health_Data[[#This Row],[Weight_kg]]/(Child_Health_Data[[#This Row],[Height_cm]]/100)^2</f>
        <v>17.950419185130364</v>
      </c>
      <c r="L13" t="str">
        <f t="shared" si="0"/>
        <v>Underweight</v>
      </c>
      <c r="M13" t="str">
        <f t="shared" si="1"/>
        <v>25-36 months</v>
      </c>
    </row>
    <row r="14" spans="1:13" x14ac:dyDescent="0.35">
      <c r="A14" t="s">
        <v>29</v>
      </c>
      <c r="B14">
        <v>34</v>
      </c>
      <c r="C14" t="s">
        <v>19</v>
      </c>
      <c r="D14">
        <v>97.37</v>
      </c>
      <c r="E14">
        <v>15.55</v>
      </c>
      <c r="F14">
        <v>0</v>
      </c>
      <c r="G14">
        <v>1</v>
      </c>
      <c r="H14">
        <v>2</v>
      </c>
      <c r="I14">
        <v>1.3</v>
      </c>
      <c r="J14" t="s">
        <v>20</v>
      </c>
      <c r="K14" s="1">
        <f>Child_Health_Data[[#This Row],[Weight_kg]]/(Child_Health_Data[[#This Row],[Height_cm]]/100)^2</f>
        <v>16.401367255945466</v>
      </c>
      <c r="L14" t="str">
        <f t="shared" si="0"/>
        <v>Underweight</v>
      </c>
      <c r="M14" t="str">
        <f t="shared" si="1"/>
        <v>25-36 months</v>
      </c>
    </row>
    <row r="15" spans="1:13" x14ac:dyDescent="0.35">
      <c r="A15" t="s">
        <v>30</v>
      </c>
      <c r="B15">
        <v>49</v>
      </c>
      <c r="C15" t="s">
        <v>19</v>
      </c>
      <c r="D15">
        <v>108.39</v>
      </c>
      <c r="E15">
        <v>20.100000000000001</v>
      </c>
      <c r="F15">
        <v>0</v>
      </c>
      <c r="G15">
        <v>2</v>
      </c>
      <c r="H15">
        <v>3</v>
      </c>
      <c r="I15">
        <v>0.6</v>
      </c>
      <c r="J15" t="s">
        <v>20</v>
      </c>
      <c r="K15" s="1">
        <f>Child_Health_Data[[#This Row],[Weight_kg]]/(Child_Health_Data[[#This Row],[Height_cm]]/100)^2</f>
        <v>17.108724180222072</v>
      </c>
      <c r="L15" t="str">
        <f t="shared" si="0"/>
        <v>Underweight</v>
      </c>
      <c r="M15" t="str">
        <f t="shared" si="1"/>
        <v>49-60 months</v>
      </c>
    </row>
    <row r="16" spans="1:13" x14ac:dyDescent="0.35">
      <c r="A16" t="s">
        <v>31</v>
      </c>
      <c r="B16">
        <v>25</v>
      </c>
      <c r="C16" t="s">
        <v>19</v>
      </c>
      <c r="D16">
        <v>92.58</v>
      </c>
      <c r="E16">
        <v>15.13</v>
      </c>
      <c r="F16">
        <v>2</v>
      </c>
      <c r="G16">
        <v>2</v>
      </c>
      <c r="H16">
        <v>2</v>
      </c>
      <c r="I16">
        <v>1.6</v>
      </c>
      <c r="J16" t="s">
        <v>14</v>
      </c>
      <c r="K16" s="1">
        <f>Child_Health_Data[[#This Row],[Weight_kg]]/(Child_Health_Data[[#This Row],[Height_cm]]/100)^2</f>
        <v>17.652433135313405</v>
      </c>
      <c r="L16" t="str">
        <f t="shared" si="0"/>
        <v>Underweight</v>
      </c>
      <c r="M16" t="str">
        <f t="shared" si="1"/>
        <v>25-36 months</v>
      </c>
    </row>
    <row r="17" spans="1:13" x14ac:dyDescent="0.35">
      <c r="A17" t="s">
        <v>32</v>
      </c>
      <c r="B17">
        <v>38</v>
      </c>
      <c r="C17" t="s">
        <v>19</v>
      </c>
      <c r="D17">
        <v>99.65</v>
      </c>
      <c r="E17">
        <v>16.940000000000001</v>
      </c>
      <c r="F17">
        <v>1</v>
      </c>
      <c r="G17">
        <v>3</v>
      </c>
      <c r="H17">
        <v>3</v>
      </c>
      <c r="I17">
        <v>2.1</v>
      </c>
      <c r="J17" t="s">
        <v>14</v>
      </c>
      <c r="K17" s="1">
        <f>Child_Health_Data[[#This Row],[Weight_kg]]/(Child_Health_Data[[#This Row],[Height_cm]]/100)^2</f>
        <v>17.059205462973896</v>
      </c>
      <c r="L17" t="str">
        <f t="shared" si="0"/>
        <v>Underweight</v>
      </c>
      <c r="M17" t="str">
        <f t="shared" si="1"/>
        <v>37-48 months</v>
      </c>
    </row>
    <row r="18" spans="1:13" x14ac:dyDescent="0.35">
      <c r="A18" t="s">
        <v>33</v>
      </c>
      <c r="B18">
        <v>38</v>
      </c>
      <c r="C18" t="s">
        <v>11</v>
      </c>
      <c r="D18">
        <v>98.91</v>
      </c>
      <c r="E18">
        <v>19.489999999999998</v>
      </c>
      <c r="F18">
        <v>0</v>
      </c>
      <c r="G18">
        <v>0</v>
      </c>
      <c r="H18">
        <v>3</v>
      </c>
      <c r="I18">
        <v>3.1</v>
      </c>
      <c r="J18" t="s">
        <v>14</v>
      </c>
      <c r="K18" s="1">
        <f>Child_Health_Data[[#This Row],[Weight_kg]]/(Child_Health_Data[[#This Row],[Height_cm]]/100)^2</f>
        <v>19.92193117497148</v>
      </c>
      <c r="L18" t="str">
        <f t="shared" si="0"/>
        <v>Healthy Weight</v>
      </c>
      <c r="M18" t="str">
        <f t="shared" si="1"/>
        <v>37-48 months</v>
      </c>
    </row>
    <row r="19" spans="1:13" x14ac:dyDescent="0.35">
      <c r="A19" t="s">
        <v>34</v>
      </c>
      <c r="B19">
        <v>25</v>
      </c>
      <c r="C19" t="s">
        <v>11</v>
      </c>
      <c r="D19">
        <v>96.42</v>
      </c>
      <c r="E19">
        <v>14.69</v>
      </c>
      <c r="F19">
        <v>1</v>
      </c>
      <c r="G19">
        <v>3</v>
      </c>
      <c r="H19">
        <v>2</v>
      </c>
      <c r="I19">
        <v>1.2</v>
      </c>
      <c r="J19" t="s">
        <v>24</v>
      </c>
      <c r="K19" s="1">
        <f>Child_Health_Data[[#This Row],[Weight_kg]]/(Child_Health_Data[[#This Row],[Height_cm]]/100)^2</f>
        <v>15.801108000799067</v>
      </c>
      <c r="L19" t="str">
        <f t="shared" si="0"/>
        <v>Underweight</v>
      </c>
      <c r="M19" t="str">
        <f t="shared" si="1"/>
        <v>25-36 months</v>
      </c>
    </row>
    <row r="20" spans="1:13" x14ac:dyDescent="0.35">
      <c r="A20" t="s">
        <v>35</v>
      </c>
      <c r="B20">
        <v>57</v>
      </c>
      <c r="C20" t="s">
        <v>11</v>
      </c>
      <c r="D20">
        <v>109.26</v>
      </c>
      <c r="E20">
        <v>20.61</v>
      </c>
      <c r="F20">
        <v>3</v>
      </c>
      <c r="G20">
        <v>2</v>
      </c>
      <c r="H20">
        <v>1</v>
      </c>
      <c r="I20">
        <v>2</v>
      </c>
      <c r="J20" t="s">
        <v>20</v>
      </c>
      <c r="K20" s="1">
        <f>Child_Health_Data[[#This Row],[Weight_kg]]/(Child_Health_Data[[#This Row],[Height_cm]]/100)^2</f>
        <v>17.264563375422682</v>
      </c>
      <c r="L20" t="str">
        <f t="shared" si="0"/>
        <v>Underweight</v>
      </c>
      <c r="M20" t="str">
        <f t="shared" si="1"/>
        <v>49-60 months</v>
      </c>
    </row>
    <row r="21" spans="1:13" x14ac:dyDescent="0.35">
      <c r="A21" t="s">
        <v>36</v>
      </c>
      <c r="B21">
        <v>34</v>
      </c>
      <c r="C21" t="s">
        <v>19</v>
      </c>
      <c r="D21">
        <v>98.22</v>
      </c>
      <c r="E21">
        <v>15.49</v>
      </c>
      <c r="F21">
        <v>1</v>
      </c>
      <c r="G21">
        <v>2</v>
      </c>
      <c r="H21">
        <v>0</v>
      </c>
      <c r="I21">
        <v>0.8</v>
      </c>
      <c r="J21" t="s">
        <v>14</v>
      </c>
      <c r="K21" s="1">
        <f>Child_Health_Data[[#This Row],[Weight_kg]]/(Child_Health_Data[[#This Row],[Height_cm]]/100)^2</f>
        <v>16.056524938447225</v>
      </c>
      <c r="L21" t="str">
        <f t="shared" si="0"/>
        <v>Underweight</v>
      </c>
      <c r="M21" t="str">
        <f t="shared" si="1"/>
        <v>25-36 months</v>
      </c>
    </row>
    <row r="22" spans="1:13" x14ac:dyDescent="0.35">
      <c r="A22" t="s">
        <v>37</v>
      </c>
      <c r="B22">
        <v>35</v>
      </c>
      <c r="C22" t="s">
        <v>11</v>
      </c>
      <c r="D22">
        <v>101.02</v>
      </c>
      <c r="E22">
        <v>16.760000000000002</v>
      </c>
      <c r="F22">
        <v>3</v>
      </c>
      <c r="G22">
        <v>2</v>
      </c>
      <c r="H22">
        <v>2</v>
      </c>
      <c r="I22">
        <v>1.9</v>
      </c>
      <c r="J22" t="s">
        <v>12</v>
      </c>
      <c r="K22" s="1">
        <f>Child_Health_Data[[#This Row],[Weight_kg]]/(Child_Health_Data[[#This Row],[Height_cm]]/100)^2</f>
        <v>16.423256883921791</v>
      </c>
      <c r="L22" t="str">
        <f t="shared" si="0"/>
        <v>Underweight</v>
      </c>
      <c r="M22" t="str">
        <f t="shared" si="1"/>
        <v>25-36 months</v>
      </c>
    </row>
    <row r="23" spans="1:13" x14ac:dyDescent="0.35">
      <c r="A23" t="s">
        <v>38</v>
      </c>
      <c r="B23">
        <v>56</v>
      </c>
      <c r="C23" t="s">
        <v>19</v>
      </c>
      <c r="D23">
        <v>111.44</v>
      </c>
      <c r="E23">
        <v>21.87</v>
      </c>
      <c r="F23">
        <v>4</v>
      </c>
      <c r="G23">
        <v>1</v>
      </c>
      <c r="H23">
        <v>2</v>
      </c>
      <c r="I23">
        <v>1.9</v>
      </c>
      <c r="J23" t="s">
        <v>20</v>
      </c>
      <c r="K23" s="1">
        <f>Child_Health_Data[[#This Row],[Weight_kg]]/(Child_Health_Data[[#This Row],[Height_cm]]/100)^2</f>
        <v>17.610292772445963</v>
      </c>
      <c r="L23" t="str">
        <f t="shared" si="0"/>
        <v>Underweight</v>
      </c>
      <c r="M23" t="str">
        <f t="shared" si="1"/>
        <v>49-60 months</v>
      </c>
    </row>
    <row r="24" spans="1:13" x14ac:dyDescent="0.35">
      <c r="A24" t="s">
        <v>39</v>
      </c>
      <c r="B24">
        <v>46</v>
      </c>
      <c r="C24" t="s">
        <v>19</v>
      </c>
      <c r="D24">
        <v>103.85</v>
      </c>
      <c r="E24">
        <v>19.47</v>
      </c>
      <c r="F24">
        <v>2</v>
      </c>
      <c r="G24">
        <v>4</v>
      </c>
      <c r="H24">
        <v>3</v>
      </c>
      <c r="I24">
        <v>2.9</v>
      </c>
      <c r="J24" t="s">
        <v>20</v>
      </c>
      <c r="K24" s="1">
        <f>Child_Health_Data[[#This Row],[Weight_kg]]/(Child_Health_Data[[#This Row],[Height_cm]]/100)^2</f>
        <v>18.053148301698982</v>
      </c>
      <c r="L24" t="str">
        <f t="shared" si="0"/>
        <v>Underweight</v>
      </c>
      <c r="M24" t="str">
        <f t="shared" si="1"/>
        <v>37-48 months</v>
      </c>
    </row>
    <row r="25" spans="1:13" x14ac:dyDescent="0.35">
      <c r="A25" t="s">
        <v>40</v>
      </c>
      <c r="B25">
        <v>35</v>
      </c>
      <c r="C25" t="s">
        <v>11</v>
      </c>
      <c r="D25">
        <v>102.67</v>
      </c>
      <c r="E25">
        <v>13.79</v>
      </c>
      <c r="F25">
        <v>4</v>
      </c>
      <c r="G25">
        <v>1</v>
      </c>
      <c r="H25">
        <v>1</v>
      </c>
      <c r="I25">
        <v>2</v>
      </c>
      <c r="J25" t="s">
        <v>14</v>
      </c>
      <c r="K25" s="1">
        <f>Child_Health_Data[[#This Row],[Weight_kg]]/(Child_Health_Data[[#This Row],[Height_cm]]/100)^2</f>
        <v>13.082090287312587</v>
      </c>
      <c r="L25" t="str">
        <f t="shared" si="0"/>
        <v>Underweight</v>
      </c>
      <c r="M25" t="str">
        <f t="shared" si="1"/>
        <v>25-36 months</v>
      </c>
    </row>
    <row r="26" spans="1:13" x14ac:dyDescent="0.35">
      <c r="A26" t="s">
        <v>41</v>
      </c>
      <c r="B26">
        <v>52</v>
      </c>
      <c r="C26" t="s">
        <v>19</v>
      </c>
      <c r="D26">
        <v>107.91</v>
      </c>
      <c r="E26">
        <v>19.27</v>
      </c>
      <c r="F26">
        <v>4</v>
      </c>
      <c r="G26">
        <v>0</v>
      </c>
      <c r="H26">
        <v>0</v>
      </c>
      <c r="I26">
        <v>0.8</v>
      </c>
      <c r="J26" t="s">
        <v>20</v>
      </c>
      <c r="K26" s="1">
        <f>Child_Health_Data[[#This Row],[Weight_kg]]/(Child_Health_Data[[#This Row],[Height_cm]]/100)^2</f>
        <v>16.548488389191526</v>
      </c>
      <c r="L26" t="str">
        <f t="shared" si="0"/>
        <v>Underweight</v>
      </c>
      <c r="M26" t="str">
        <f t="shared" si="1"/>
        <v>49-60 months</v>
      </c>
    </row>
    <row r="27" spans="1:13" x14ac:dyDescent="0.35">
      <c r="A27" t="s">
        <v>42</v>
      </c>
      <c r="B27">
        <v>30</v>
      </c>
      <c r="C27" t="s">
        <v>11</v>
      </c>
      <c r="D27">
        <v>96.67</v>
      </c>
      <c r="E27">
        <v>15.72</v>
      </c>
      <c r="F27">
        <v>3</v>
      </c>
      <c r="G27">
        <v>1</v>
      </c>
      <c r="H27">
        <v>2</v>
      </c>
      <c r="I27">
        <v>1.2</v>
      </c>
      <c r="J27" t="s">
        <v>24</v>
      </c>
      <c r="K27" s="1">
        <f>Child_Health_Data[[#This Row],[Weight_kg]]/(Child_Health_Data[[#This Row],[Height_cm]]/100)^2</f>
        <v>16.821669829165565</v>
      </c>
      <c r="L27" t="str">
        <f t="shared" si="0"/>
        <v>Underweight</v>
      </c>
      <c r="M27" t="str">
        <f t="shared" si="1"/>
        <v>25-36 months</v>
      </c>
    </row>
    <row r="28" spans="1:13" x14ac:dyDescent="0.35">
      <c r="A28" t="s">
        <v>43</v>
      </c>
      <c r="B28">
        <v>35</v>
      </c>
      <c r="C28" t="s">
        <v>19</v>
      </c>
      <c r="D28">
        <v>101.41</v>
      </c>
      <c r="E28">
        <v>19.45</v>
      </c>
      <c r="F28">
        <v>0</v>
      </c>
      <c r="G28">
        <v>4</v>
      </c>
      <c r="H28">
        <v>2</v>
      </c>
      <c r="I28">
        <v>1.9</v>
      </c>
      <c r="J28" t="s">
        <v>12</v>
      </c>
      <c r="K28" s="1">
        <f>Child_Health_Data[[#This Row],[Weight_kg]]/(Child_Health_Data[[#This Row],[Height_cm]]/100)^2</f>
        <v>18.912896252767929</v>
      </c>
      <c r="L28" t="str">
        <f t="shared" si="0"/>
        <v>Healthy Weight</v>
      </c>
      <c r="M28" t="str">
        <f t="shared" si="1"/>
        <v>25-36 months</v>
      </c>
    </row>
    <row r="29" spans="1:13" x14ac:dyDescent="0.35">
      <c r="A29" t="s">
        <v>44</v>
      </c>
      <c r="B29">
        <v>32</v>
      </c>
      <c r="C29" t="s">
        <v>11</v>
      </c>
      <c r="D29">
        <v>102.28</v>
      </c>
      <c r="E29">
        <v>11.75</v>
      </c>
      <c r="F29">
        <v>2</v>
      </c>
      <c r="G29">
        <v>1</v>
      </c>
      <c r="H29">
        <v>1</v>
      </c>
      <c r="I29">
        <v>1.3</v>
      </c>
      <c r="J29" t="s">
        <v>20</v>
      </c>
      <c r="K29" s="1">
        <f>Child_Health_Data[[#This Row],[Weight_kg]]/(Child_Health_Data[[#This Row],[Height_cm]]/100)^2</f>
        <v>11.23198275256877</v>
      </c>
      <c r="L29" t="str">
        <f t="shared" si="0"/>
        <v>Underweight</v>
      </c>
      <c r="M29" t="str">
        <f t="shared" si="1"/>
        <v>25-36 months</v>
      </c>
    </row>
    <row r="30" spans="1:13" x14ac:dyDescent="0.35">
      <c r="A30" t="s">
        <v>45</v>
      </c>
      <c r="B30">
        <v>46</v>
      </c>
      <c r="C30" t="s">
        <v>19</v>
      </c>
      <c r="D30">
        <v>105.06</v>
      </c>
      <c r="E30">
        <v>17.260000000000002</v>
      </c>
      <c r="F30">
        <v>4</v>
      </c>
      <c r="G30">
        <v>1</v>
      </c>
      <c r="H30">
        <v>2</v>
      </c>
      <c r="I30">
        <v>0.8</v>
      </c>
      <c r="J30" t="s">
        <v>14</v>
      </c>
      <c r="K30" s="1">
        <f>Child_Health_Data[[#This Row],[Weight_kg]]/(Child_Health_Data[[#This Row],[Height_cm]]/100)^2</f>
        <v>15.637452318001349</v>
      </c>
      <c r="L30" t="str">
        <f t="shared" si="0"/>
        <v>Underweight</v>
      </c>
      <c r="M30" t="str">
        <f t="shared" si="1"/>
        <v>37-48 months</v>
      </c>
    </row>
    <row r="31" spans="1:13" x14ac:dyDescent="0.35">
      <c r="A31" t="s">
        <v>46</v>
      </c>
      <c r="B31">
        <v>43</v>
      </c>
      <c r="C31" t="s">
        <v>19</v>
      </c>
      <c r="D31">
        <v>103.22</v>
      </c>
      <c r="E31">
        <v>20.74</v>
      </c>
      <c r="F31">
        <v>2</v>
      </c>
      <c r="G31">
        <v>2</v>
      </c>
      <c r="H31">
        <v>3</v>
      </c>
      <c r="I31">
        <v>2.1</v>
      </c>
      <c r="J31" t="s">
        <v>12</v>
      </c>
      <c r="K31" s="1">
        <f>Child_Health_Data[[#This Row],[Weight_kg]]/(Child_Health_Data[[#This Row],[Height_cm]]/100)^2</f>
        <v>19.466193791459283</v>
      </c>
      <c r="L31" t="str">
        <f t="shared" si="0"/>
        <v>Healthy Weight</v>
      </c>
      <c r="M31" t="str">
        <f t="shared" si="1"/>
        <v>37-48 months</v>
      </c>
    </row>
    <row r="32" spans="1:13" x14ac:dyDescent="0.35">
      <c r="A32" t="s">
        <v>47</v>
      </c>
      <c r="B32">
        <v>46</v>
      </c>
      <c r="C32" t="s">
        <v>11</v>
      </c>
      <c r="D32">
        <v>105.42</v>
      </c>
      <c r="E32">
        <v>20.23</v>
      </c>
      <c r="F32">
        <v>4</v>
      </c>
      <c r="G32">
        <v>0</v>
      </c>
      <c r="H32">
        <v>2</v>
      </c>
      <c r="I32">
        <v>2.2999999999999998</v>
      </c>
      <c r="J32" t="s">
        <v>27</v>
      </c>
      <c r="K32" s="1">
        <f>Child_Health_Data[[#This Row],[Weight_kg]]/(Child_Health_Data[[#This Row],[Height_cm]]/100)^2</f>
        <v>18.203288786295403</v>
      </c>
      <c r="L32" t="str">
        <f t="shared" si="0"/>
        <v>Underweight</v>
      </c>
      <c r="M32" t="str">
        <f t="shared" si="1"/>
        <v>37-48 months</v>
      </c>
    </row>
    <row r="33" spans="1:13" x14ac:dyDescent="0.35">
      <c r="A33" t="s">
        <v>48</v>
      </c>
      <c r="B33">
        <v>32</v>
      </c>
      <c r="C33" t="s">
        <v>19</v>
      </c>
      <c r="D33">
        <v>97.29</v>
      </c>
      <c r="E33">
        <v>12.89</v>
      </c>
      <c r="F33">
        <v>4</v>
      </c>
      <c r="G33">
        <v>2</v>
      </c>
      <c r="H33">
        <v>2</v>
      </c>
      <c r="I33">
        <v>1.3</v>
      </c>
      <c r="J33" t="s">
        <v>14</v>
      </c>
      <c r="K33" s="1">
        <f>Child_Health_Data[[#This Row],[Weight_kg]]/(Child_Health_Data[[#This Row],[Height_cm]]/100)^2</f>
        <v>13.618099737124188</v>
      </c>
      <c r="L33" t="str">
        <f t="shared" si="0"/>
        <v>Underweight</v>
      </c>
      <c r="M33" t="str">
        <f t="shared" si="1"/>
        <v>25-36 months</v>
      </c>
    </row>
    <row r="34" spans="1:13" x14ac:dyDescent="0.35">
      <c r="A34" t="s">
        <v>49</v>
      </c>
      <c r="B34">
        <v>46</v>
      </c>
      <c r="C34" t="s">
        <v>19</v>
      </c>
      <c r="D34">
        <v>106.22</v>
      </c>
      <c r="E34">
        <v>19.48</v>
      </c>
      <c r="F34">
        <v>4</v>
      </c>
      <c r="G34">
        <v>3</v>
      </c>
      <c r="H34">
        <v>0</v>
      </c>
      <c r="I34">
        <v>0.7</v>
      </c>
      <c r="J34" t="s">
        <v>12</v>
      </c>
      <c r="K34" s="1">
        <f>Child_Health_Data[[#This Row],[Weight_kg]]/(Child_Health_Data[[#This Row],[Height_cm]]/100)^2</f>
        <v>17.26538862847617</v>
      </c>
      <c r="L34" t="str">
        <f t="shared" ref="L34:L65" si="2">IF(K34&lt;18.5,"Underweight",IF(K34&lt;=24.9,"Healthy Weight",IF(K34&lt;=29.9,"Overweight","Obese")))</f>
        <v>Underweight</v>
      </c>
      <c r="M34" t="str">
        <f t="shared" ref="M34:M65" si="3">IF(B34&lt;=24,"0-24 months",IF(B34&lt;=36,"25-36 months",IF(B34&lt;=48,"37-48 months",IF(B34&lt;=60,"49-60 months","61+ months"))))</f>
        <v>37-48 months</v>
      </c>
    </row>
    <row r="35" spans="1:13" x14ac:dyDescent="0.35">
      <c r="A35" t="s">
        <v>50</v>
      </c>
      <c r="B35">
        <v>56</v>
      </c>
      <c r="C35" t="s">
        <v>11</v>
      </c>
      <c r="D35">
        <v>114.63</v>
      </c>
      <c r="E35">
        <v>20.11</v>
      </c>
      <c r="F35">
        <v>2</v>
      </c>
      <c r="G35">
        <v>1</v>
      </c>
      <c r="H35">
        <v>0</v>
      </c>
      <c r="I35">
        <v>0.8</v>
      </c>
      <c r="J35" t="s">
        <v>27</v>
      </c>
      <c r="K35" s="1">
        <f>Child_Health_Data[[#This Row],[Weight_kg]]/(Child_Health_Data[[#This Row],[Height_cm]]/100)^2</f>
        <v>15.304371025015923</v>
      </c>
      <c r="L35" t="str">
        <f t="shared" si="2"/>
        <v>Underweight</v>
      </c>
      <c r="M35" t="str">
        <f t="shared" si="3"/>
        <v>49-60 months</v>
      </c>
    </row>
    <row r="36" spans="1:13" x14ac:dyDescent="0.35">
      <c r="A36" t="s">
        <v>51</v>
      </c>
      <c r="B36">
        <v>30</v>
      </c>
      <c r="C36" t="s">
        <v>11</v>
      </c>
      <c r="D36">
        <v>93.15</v>
      </c>
      <c r="E36">
        <v>14.24</v>
      </c>
      <c r="F36">
        <v>1</v>
      </c>
      <c r="G36">
        <v>1</v>
      </c>
      <c r="H36">
        <v>2</v>
      </c>
      <c r="I36">
        <v>1.3</v>
      </c>
      <c r="J36" t="s">
        <v>14</v>
      </c>
      <c r="K36" s="1">
        <f>Child_Health_Data[[#This Row],[Weight_kg]]/(Child_Health_Data[[#This Row],[Height_cm]]/100)^2</f>
        <v>16.411348608910586</v>
      </c>
      <c r="L36" t="str">
        <f t="shared" si="2"/>
        <v>Underweight</v>
      </c>
      <c r="M36" t="str">
        <f t="shared" si="3"/>
        <v>25-36 months</v>
      </c>
    </row>
    <row r="37" spans="1:13" x14ac:dyDescent="0.35">
      <c r="A37" t="s">
        <v>52</v>
      </c>
      <c r="B37">
        <v>44</v>
      </c>
      <c r="C37" t="s">
        <v>11</v>
      </c>
      <c r="D37">
        <v>102.36</v>
      </c>
      <c r="E37">
        <v>19.600000000000001</v>
      </c>
      <c r="F37">
        <v>1</v>
      </c>
      <c r="G37">
        <v>2</v>
      </c>
      <c r="H37">
        <v>0</v>
      </c>
      <c r="I37">
        <v>0.9</v>
      </c>
      <c r="J37" t="s">
        <v>27</v>
      </c>
      <c r="K37" s="1">
        <f>Child_Health_Data[[#This Row],[Weight_kg]]/(Child_Health_Data[[#This Row],[Height_cm]]/100)^2</f>
        <v>18.706628300517327</v>
      </c>
      <c r="L37" t="str">
        <f t="shared" si="2"/>
        <v>Healthy Weight</v>
      </c>
      <c r="M37" t="str">
        <f t="shared" si="3"/>
        <v>37-48 months</v>
      </c>
    </row>
    <row r="38" spans="1:13" x14ac:dyDescent="0.35">
      <c r="A38" t="s">
        <v>53</v>
      </c>
      <c r="B38">
        <v>43</v>
      </c>
      <c r="C38" t="s">
        <v>11</v>
      </c>
      <c r="D38">
        <v>105.34</v>
      </c>
      <c r="E38">
        <v>14.14</v>
      </c>
      <c r="F38">
        <v>4</v>
      </c>
      <c r="G38">
        <v>3</v>
      </c>
      <c r="H38">
        <v>0</v>
      </c>
      <c r="I38">
        <v>0.8</v>
      </c>
      <c r="J38" t="s">
        <v>20</v>
      </c>
      <c r="K38" s="1">
        <f>Child_Health_Data[[#This Row],[Weight_kg]]/(Child_Health_Data[[#This Row],[Height_cm]]/100)^2</f>
        <v>12.742738810730817</v>
      </c>
      <c r="L38" t="str">
        <f t="shared" si="2"/>
        <v>Underweight</v>
      </c>
      <c r="M38" t="str">
        <f t="shared" si="3"/>
        <v>37-48 months</v>
      </c>
    </row>
    <row r="39" spans="1:13" x14ac:dyDescent="0.35">
      <c r="A39" t="s">
        <v>54</v>
      </c>
      <c r="B39">
        <v>31</v>
      </c>
      <c r="C39" t="s">
        <v>11</v>
      </c>
      <c r="D39">
        <v>96.26</v>
      </c>
      <c r="E39">
        <v>17.63</v>
      </c>
      <c r="F39">
        <v>3</v>
      </c>
      <c r="G39">
        <v>3</v>
      </c>
      <c r="H39">
        <v>2</v>
      </c>
      <c r="I39">
        <v>1.7</v>
      </c>
      <c r="J39" t="s">
        <v>20</v>
      </c>
      <c r="K39" s="1">
        <f>Child_Health_Data[[#This Row],[Weight_kg]]/(Child_Health_Data[[#This Row],[Height_cm]]/100)^2</f>
        <v>19.026574134418222</v>
      </c>
      <c r="L39" t="str">
        <f t="shared" si="2"/>
        <v>Healthy Weight</v>
      </c>
      <c r="M39" t="str">
        <f t="shared" si="3"/>
        <v>25-36 months</v>
      </c>
    </row>
    <row r="40" spans="1:13" x14ac:dyDescent="0.35">
      <c r="A40" t="s">
        <v>55</v>
      </c>
      <c r="B40">
        <v>28</v>
      </c>
      <c r="C40" t="s">
        <v>19</v>
      </c>
      <c r="D40">
        <v>97.25</v>
      </c>
      <c r="E40">
        <v>14.98</v>
      </c>
      <c r="F40">
        <v>3</v>
      </c>
      <c r="G40">
        <v>4</v>
      </c>
      <c r="H40">
        <v>3</v>
      </c>
      <c r="I40">
        <v>3.2</v>
      </c>
      <c r="J40" t="s">
        <v>14</v>
      </c>
      <c r="K40" s="1">
        <f>Child_Health_Data[[#This Row],[Weight_kg]]/(Child_Health_Data[[#This Row],[Height_cm]]/100)^2</f>
        <v>15.839176320537135</v>
      </c>
      <c r="L40" t="str">
        <f t="shared" si="2"/>
        <v>Underweight</v>
      </c>
      <c r="M40" t="str">
        <f t="shared" si="3"/>
        <v>25-36 months</v>
      </c>
    </row>
    <row r="41" spans="1:13" x14ac:dyDescent="0.35">
      <c r="A41" t="s">
        <v>56</v>
      </c>
      <c r="B41">
        <v>48</v>
      </c>
      <c r="C41" t="s">
        <v>19</v>
      </c>
      <c r="D41">
        <v>108.23</v>
      </c>
      <c r="E41">
        <v>21</v>
      </c>
      <c r="F41">
        <v>3</v>
      </c>
      <c r="G41">
        <v>4</v>
      </c>
      <c r="H41">
        <v>0</v>
      </c>
      <c r="I41">
        <v>0.6</v>
      </c>
      <c r="J41" t="s">
        <v>14</v>
      </c>
      <c r="K41" s="1">
        <f>Child_Health_Data[[#This Row],[Weight_kg]]/(Child_Health_Data[[#This Row],[Height_cm]]/100)^2</f>
        <v>17.927675301525785</v>
      </c>
      <c r="L41" t="str">
        <f t="shared" si="2"/>
        <v>Underweight</v>
      </c>
      <c r="M41" t="str">
        <f t="shared" si="3"/>
        <v>37-48 months</v>
      </c>
    </row>
    <row r="42" spans="1:13" x14ac:dyDescent="0.35">
      <c r="A42" t="s">
        <v>57</v>
      </c>
      <c r="B42">
        <v>27</v>
      </c>
      <c r="C42" t="s">
        <v>19</v>
      </c>
      <c r="D42">
        <v>97</v>
      </c>
      <c r="E42">
        <v>15.12</v>
      </c>
      <c r="F42">
        <v>4</v>
      </c>
      <c r="G42">
        <v>0</v>
      </c>
      <c r="H42">
        <v>1</v>
      </c>
      <c r="I42">
        <v>1.7</v>
      </c>
      <c r="J42" t="s">
        <v>24</v>
      </c>
      <c r="K42" s="1">
        <f>Child_Health_Data[[#This Row],[Weight_kg]]/(Child_Health_Data[[#This Row],[Height_cm]]/100)^2</f>
        <v>16.069720480391116</v>
      </c>
      <c r="L42" t="str">
        <f t="shared" si="2"/>
        <v>Underweight</v>
      </c>
      <c r="M42" t="str">
        <f t="shared" si="3"/>
        <v>25-36 months</v>
      </c>
    </row>
    <row r="43" spans="1:13" x14ac:dyDescent="0.35">
      <c r="A43" t="s">
        <v>58</v>
      </c>
      <c r="B43">
        <v>45</v>
      </c>
      <c r="C43" t="s">
        <v>19</v>
      </c>
      <c r="D43">
        <v>107.27</v>
      </c>
      <c r="E43">
        <v>22.7</v>
      </c>
      <c r="F43">
        <v>4</v>
      </c>
      <c r="G43">
        <v>0</v>
      </c>
      <c r="H43">
        <v>0</v>
      </c>
      <c r="I43">
        <v>0.8</v>
      </c>
      <c r="J43" t="s">
        <v>12</v>
      </c>
      <c r="K43" s="1">
        <f>Child_Health_Data[[#This Row],[Weight_kg]]/(Child_Health_Data[[#This Row],[Height_cm]]/100)^2</f>
        <v>19.727374806364303</v>
      </c>
      <c r="L43" t="str">
        <f t="shared" si="2"/>
        <v>Healthy Weight</v>
      </c>
      <c r="M43" t="str">
        <f t="shared" si="3"/>
        <v>37-48 months</v>
      </c>
    </row>
    <row r="44" spans="1:13" x14ac:dyDescent="0.35">
      <c r="A44" t="s">
        <v>59</v>
      </c>
      <c r="B44">
        <v>54</v>
      </c>
      <c r="C44" t="s">
        <v>19</v>
      </c>
      <c r="D44">
        <v>112.46</v>
      </c>
      <c r="E44">
        <v>21.36</v>
      </c>
      <c r="F44">
        <v>2</v>
      </c>
      <c r="G44">
        <v>0</v>
      </c>
      <c r="H44">
        <v>1</v>
      </c>
      <c r="I44">
        <v>1</v>
      </c>
      <c r="J44" t="s">
        <v>14</v>
      </c>
      <c r="K44" s="1">
        <f>Child_Health_Data[[#This Row],[Weight_kg]]/(Child_Health_Data[[#This Row],[Height_cm]]/100)^2</f>
        <v>16.889044889405064</v>
      </c>
      <c r="L44" t="str">
        <f t="shared" si="2"/>
        <v>Underweight</v>
      </c>
      <c r="M44" t="str">
        <f t="shared" si="3"/>
        <v>49-60 months</v>
      </c>
    </row>
    <row r="45" spans="1:13" x14ac:dyDescent="0.35">
      <c r="A45" t="s">
        <v>60</v>
      </c>
      <c r="B45">
        <v>40</v>
      </c>
      <c r="C45" t="s">
        <v>19</v>
      </c>
      <c r="D45">
        <v>103.32</v>
      </c>
      <c r="E45">
        <v>17.41</v>
      </c>
      <c r="F45">
        <v>1</v>
      </c>
      <c r="G45">
        <v>0</v>
      </c>
      <c r="H45">
        <v>2</v>
      </c>
      <c r="I45">
        <v>2</v>
      </c>
      <c r="J45" t="s">
        <v>20</v>
      </c>
      <c r="K45" s="1">
        <f>Child_Health_Data[[#This Row],[Weight_kg]]/(Child_Health_Data[[#This Row],[Height_cm]]/100)^2</f>
        <v>16.309099267089127</v>
      </c>
      <c r="L45" t="str">
        <f t="shared" si="2"/>
        <v>Underweight</v>
      </c>
      <c r="M45" t="str">
        <f t="shared" si="3"/>
        <v>37-48 months</v>
      </c>
    </row>
    <row r="46" spans="1:13" x14ac:dyDescent="0.35">
      <c r="A46" t="s">
        <v>61</v>
      </c>
      <c r="B46">
        <v>52</v>
      </c>
      <c r="C46" t="s">
        <v>11</v>
      </c>
      <c r="D46">
        <v>107.31</v>
      </c>
      <c r="E46">
        <v>17.34</v>
      </c>
      <c r="F46">
        <v>1</v>
      </c>
      <c r="G46">
        <v>3</v>
      </c>
      <c r="H46">
        <v>0</v>
      </c>
      <c r="I46">
        <v>0.5</v>
      </c>
      <c r="J46" t="s">
        <v>24</v>
      </c>
      <c r="K46" s="1">
        <f>Child_Health_Data[[#This Row],[Weight_kg]]/(Child_Health_Data[[#This Row],[Height_cm]]/100)^2</f>
        <v>15.058048908803379</v>
      </c>
      <c r="L46" t="str">
        <f t="shared" si="2"/>
        <v>Underweight</v>
      </c>
      <c r="M46" t="str">
        <f t="shared" si="3"/>
        <v>49-60 months</v>
      </c>
    </row>
    <row r="47" spans="1:13" x14ac:dyDescent="0.35">
      <c r="A47" t="s">
        <v>62</v>
      </c>
      <c r="B47">
        <v>34</v>
      </c>
      <c r="C47" t="s">
        <v>19</v>
      </c>
      <c r="D47">
        <v>99.12</v>
      </c>
      <c r="E47">
        <v>17.43</v>
      </c>
      <c r="F47">
        <v>3</v>
      </c>
      <c r="G47">
        <v>4</v>
      </c>
      <c r="H47">
        <v>3</v>
      </c>
      <c r="I47">
        <v>1.6</v>
      </c>
      <c r="J47" t="s">
        <v>12</v>
      </c>
      <c r="K47" s="1">
        <f>Child_Health_Data[[#This Row],[Weight_kg]]/(Child_Health_Data[[#This Row],[Height_cm]]/100)^2</f>
        <v>17.740865378038603</v>
      </c>
      <c r="L47" t="str">
        <f t="shared" si="2"/>
        <v>Underweight</v>
      </c>
      <c r="M47" t="str">
        <f t="shared" si="3"/>
        <v>25-36 months</v>
      </c>
    </row>
    <row r="48" spans="1:13" x14ac:dyDescent="0.35">
      <c r="A48" t="s">
        <v>63</v>
      </c>
      <c r="B48">
        <v>27</v>
      </c>
      <c r="C48" t="s">
        <v>19</v>
      </c>
      <c r="D48">
        <v>93.16</v>
      </c>
      <c r="E48">
        <v>15.53</v>
      </c>
      <c r="F48">
        <v>2</v>
      </c>
      <c r="G48">
        <v>2</v>
      </c>
      <c r="H48">
        <v>0</v>
      </c>
      <c r="I48">
        <v>0.8</v>
      </c>
      <c r="J48" t="s">
        <v>14</v>
      </c>
      <c r="K48" s="1">
        <f>Child_Health_Data[[#This Row],[Weight_kg]]/(Child_Health_Data[[#This Row],[Height_cm]]/100)^2</f>
        <v>17.89420860909388</v>
      </c>
      <c r="L48" t="str">
        <f t="shared" si="2"/>
        <v>Underweight</v>
      </c>
      <c r="M48" t="str">
        <f t="shared" si="3"/>
        <v>25-36 months</v>
      </c>
    </row>
    <row r="49" spans="1:13" x14ac:dyDescent="0.35">
      <c r="A49" t="s">
        <v>64</v>
      </c>
      <c r="B49">
        <v>55</v>
      </c>
      <c r="C49" t="s">
        <v>19</v>
      </c>
      <c r="D49">
        <v>111.49</v>
      </c>
      <c r="E49">
        <v>20.23</v>
      </c>
      <c r="F49">
        <v>1</v>
      </c>
      <c r="G49">
        <v>0</v>
      </c>
      <c r="H49">
        <v>1</v>
      </c>
      <c r="I49">
        <v>1.6</v>
      </c>
      <c r="J49" t="s">
        <v>24</v>
      </c>
      <c r="K49" s="1">
        <f>Child_Health_Data[[#This Row],[Weight_kg]]/(Child_Health_Data[[#This Row],[Height_cm]]/100)^2</f>
        <v>16.27511447065158</v>
      </c>
      <c r="L49" t="str">
        <f t="shared" si="2"/>
        <v>Underweight</v>
      </c>
      <c r="M49" t="str">
        <f t="shared" si="3"/>
        <v>49-60 months</v>
      </c>
    </row>
    <row r="50" spans="1:13" x14ac:dyDescent="0.35">
      <c r="A50" t="s">
        <v>65</v>
      </c>
      <c r="B50">
        <v>42</v>
      </c>
      <c r="C50" t="s">
        <v>11</v>
      </c>
      <c r="D50">
        <v>108.71</v>
      </c>
      <c r="E50">
        <v>16.2</v>
      </c>
      <c r="F50">
        <v>2</v>
      </c>
      <c r="G50">
        <v>1</v>
      </c>
      <c r="H50">
        <v>3</v>
      </c>
      <c r="I50">
        <v>1.1000000000000001</v>
      </c>
      <c r="J50" t="s">
        <v>24</v>
      </c>
      <c r="K50" s="1">
        <f>Child_Health_Data[[#This Row],[Weight_kg]]/(Child_Health_Data[[#This Row],[Height_cm]]/100)^2</f>
        <v>13.708060833090812</v>
      </c>
      <c r="L50" t="str">
        <f t="shared" si="2"/>
        <v>Underweight</v>
      </c>
      <c r="M50" t="str">
        <f t="shared" si="3"/>
        <v>37-48 months</v>
      </c>
    </row>
    <row r="51" spans="1:13" x14ac:dyDescent="0.35">
      <c r="A51" t="s">
        <v>66</v>
      </c>
      <c r="B51">
        <v>36</v>
      </c>
      <c r="C51" t="s">
        <v>11</v>
      </c>
      <c r="D51">
        <v>97.21</v>
      </c>
      <c r="E51">
        <v>13.41</v>
      </c>
      <c r="F51">
        <v>4</v>
      </c>
      <c r="G51">
        <v>3</v>
      </c>
      <c r="H51">
        <v>1</v>
      </c>
      <c r="I51">
        <v>0.9</v>
      </c>
      <c r="J51" t="s">
        <v>14</v>
      </c>
      <c r="K51" s="1">
        <f>Child_Health_Data[[#This Row],[Weight_kg]]/(Child_Health_Data[[#This Row],[Height_cm]]/100)^2</f>
        <v>14.190800401461026</v>
      </c>
      <c r="L51" t="str">
        <f t="shared" si="2"/>
        <v>Underweight</v>
      </c>
      <c r="M51" t="str">
        <f t="shared" si="3"/>
        <v>25-36 months</v>
      </c>
    </row>
    <row r="52" spans="1:13" x14ac:dyDescent="0.35">
      <c r="A52" t="s">
        <v>67</v>
      </c>
      <c r="B52">
        <v>34</v>
      </c>
      <c r="C52" t="s">
        <v>11</v>
      </c>
      <c r="D52">
        <v>98.46</v>
      </c>
      <c r="E52">
        <v>15.38</v>
      </c>
      <c r="F52">
        <v>3</v>
      </c>
      <c r="G52">
        <v>2</v>
      </c>
      <c r="H52">
        <v>2</v>
      </c>
      <c r="I52">
        <v>1.2</v>
      </c>
      <c r="J52" t="s">
        <v>12</v>
      </c>
      <c r="K52" s="1">
        <f>Child_Health_Data[[#This Row],[Weight_kg]]/(Child_Health_Data[[#This Row],[Height_cm]]/100)^2</f>
        <v>15.864875656303504</v>
      </c>
      <c r="L52" t="str">
        <f t="shared" si="2"/>
        <v>Underweight</v>
      </c>
      <c r="M52" t="str">
        <f t="shared" si="3"/>
        <v>25-36 months</v>
      </c>
    </row>
    <row r="53" spans="1:13" x14ac:dyDescent="0.35">
      <c r="A53" t="s">
        <v>68</v>
      </c>
      <c r="B53">
        <v>40</v>
      </c>
      <c r="C53" t="s">
        <v>11</v>
      </c>
      <c r="D53">
        <v>100.6</v>
      </c>
      <c r="E53">
        <v>17.309999999999999</v>
      </c>
      <c r="F53">
        <v>0</v>
      </c>
      <c r="G53">
        <v>3</v>
      </c>
      <c r="H53">
        <v>0</v>
      </c>
      <c r="I53">
        <v>0.6</v>
      </c>
      <c r="J53" t="s">
        <v>27</v>
      </c>
      <c r="K53" s="1">
        <f>Child_Health_Data[[#This Row],[Weight_kg]]/(Child_Health_Data[[#This Row],[Height_cm]]/100)^2</f>
        <v>17.104134635526798</v>
      </c>
      <c r="L53" t="str">
        <f t="shared" si="2"/>
        <v>Underweight</v>
      </c>
      <c r="M53" t="str">
        <f t="shared" si="3"/>
        <v>37-48 months</v>
      </c>
    </row>
    <row r="54" spans="1:13" x14ac:dyDescent="0.35">
      <c r="A54" t="s">
        <v>69</v>
      </c>
      <c r="B54">
        <v>39</v>
      </c>
      <c r="C54" t="s">
        <v>11</v>
      </c>
      <c r="D54">
        <v>96.54</v>
      </c>
      <c r="E54">
        <v>18.239999999999998</v>
      </c>
      <c r="F54">
        <v>4</v>
      </c>
      <c r="G54">
        <v>3</v>
      </c>
      <c r="H54">
        <v>1</v>
      </c>
      <c r="I54">
        <v>1.9</v>
      </c>
      <c r="J54" t="s">
        <v>27</v>
      </c>
      <c r="K54" s="1">
        <f>Child_Health_Data[[#This Row],[Weight_kg]]/(Child_Health_Data[[#This Row],[Height_cm]]/100)^2</f>
        <v>19.570875087215928</v>
      </c>
      <c r="L54" t="str">
        <f t="shared" si="2"/>
        <v>Healthy Weight</v>
      </c>
      <c r="M54" t="str">
        <f t="shared" si="3"/>
        <v>37-48 months</v>
      </c>
    </row>
    <row r="55" spans="1:13" x14ac:dyDescent="0.35">
      <c r="A55" t="s">
        <v>70</v>
      </c>
      <c r="B55">
        <v>57</v>
      </c>
      <c r="C55" t="s">
        <v>19</v>
      </c>
      <c r="D55">
        <v>110.58</v>
      </c>
      <c r="E55">
        <v>21.99</v>
      </c>
      <c r="F55">
        <v>3</v>
      </c>
      <c r="G55">
        <v>0</v>
      </c>
      <c r="H55">
        <v>0</v>
      </c>
      <c r="I55">
        <v>0.9</v>
      </c>
      <c r="J55" t="s">
        <v>12</v>
      </c>
      <c r="K55" s="1">
        <f>Child_Health_Data[[#This Row],[Weight_kg]]/(Child_Health_Data[[#This Row],[Height_cm]]/100)^2</f>
        <v>17.983410512341237</v>
      </c>
      <c r="L55" t="str">
        <f t="shared" si="2"/>
        <v>Underweight</v>
      </c>
      <c r="M55" t="str">
        <f t="shared" si="3"/>
        <v>49-60 months</v>
      </c>
    </row>
    <row r="56" spans="1:13" x14ac:dyDescent="0.35">
      <c r="A56" t="s">
        <v>71</v>
      </c>
      <c r="B56">
        <v>50</v>
      </c>
      <c r="C56" t="s">
        <v>11</v>
      </c>
      <c r="D56">
        <v>114.47</v>
      </c>
      <c r="E56">
        <v>18.010000000000002</v>
      </c>
      <c r="F56">
        <v>1</v>
      </c>
      <c r="G56">
        <v>3</v>
      </c>
      <c r="H56">
        <v>0</v>
      </c>
      <c r="I56">
        <v>0.6</v>
      </c>
      <c r="J56" t="s">
        <v>24</v>
      </c>
      <c r="K56" s="1">
        <f>Child_Health_Data[[#This Row],[Weight_kg]]/(Child_Health_Data[[#This Row],[Height_cm]]/100)^2</f>
        <v>13.744544356487417</v>
      </c>
      <c r="L56" t="str">
        <f t="shared" si="2"/>
        <v>Underweight</v>
      </c>
      <c r="M56" t="str">
        <f t="shared" si="3"/>
        <v>49-60 months</v>
      </c>
    </row>
    <row r="57" spans="1:13" x14ac:dyDescent="0.35">
      <c r="A57" t="s">
        <v>72</v>
      </c>
      <c r="B57">
        <v>31</v>
      </c>
      <c r="C57" t="s">
        <v>11</v>
      </c>
      <c r="D57">
        <v>96.28</v>
      </c>
      <c r="E57">
        <v>16.84</v>
      </c>
      <c r="F57">
        <v>4</v>
      </c>
      <c r="G57">
        <v>2</v>
      </c>
      <c r="H57">
        <v>3</v>
      </c>
      <c r="I57">
        <v>0.5</v>
      </c>
      <c r="J57" t="s">
        <v>20</v>
      </c>
      <c r="K57" s="1">
        <f>Child_Health_Data[[#This Row],[Weight_kg]]/(Child_Health_Data[[#This Row],[Height_cm]]/100)^2</f>
        <v>18.166443980296357</v>
      </c>
      <c r="L57" t="str">
        <f t="shared" si="2"/>
        <v>Underweight</v>
      </c>
      <c r="M57" t="str">
        <f t="shared" si="3"/>
        <v>25-36 months</v>
      </c>
    </row>
    <row r="58" spans="1:13" x14ac:dyDescent="0.35">
      <c r="A58" t="s">
        <v>73</v>
      </c>
      <c r="B58">
        <v>44</v>
      </c>
      <c r="C58" t="s">
        <v>11</v>
      </c>
      <c r="D58">
        <v>104.76</v>
      </c>
      <c r="E58">
        <v>18.399999999999999</v>
      </c>
      <c r="F58">
        <v>4</v>
      </c>
      <c r="G58">
        <v>2</v>
      </c>
      <c r="H58">
        <v>1</v>
      </c>
      <c r="I58">
        <v>0.7</v>
      </c>
      <c r="J58" t="s">
        <v>12</v>
      </c>
      <c r="K58" s="1">
        <f>Child_Health_Data[[#This Row],[Weight_kg]]/(Child_Health_Data[[#This Row],[Height_cm]]/100)^2</f>
        <v>16.765898919707524</v>
      </c>
      <c r="L58" t="str">
        <f t="shared" si="2"/>
        <v>Underweight</v>
      </c>
      <c r="M58" t="str">
        <f t="shared" si="3"/>
        <v>37-48 months</v>
      </c>
    </row>
    <row r="59" spans="1:13" x14ac:dyDescent="0.35">
      <c r="A59" t="s">
        <v>74</v>
      </c>
      <c r="B59">
        <v>42</v>
      </c>
      <c r="C59" t="s">
        <v>19</v>
      </c>
      <c r="D59">
        <v>105.35</v>
      </c>
      <c r="E59">
        <v>19.88</v>
      </c>
      <c r="F59">
        <v>1</v>
      </c>
      <c r="G59">
        <v>2</v>
      </c>
      <c r="H59">
        <v>2</v>
      </c>
      <c r="I59">
        <v>2.8</v>
      </c>
      <c r="J59" t="s">
        <v>20</v>
      </c>
      <c r="K59" s="1">
        <f>Child_Health_Data[[#This Row],[Weight_kg]]/(Child_Health_Data[[#This Row],[Height_cm]]/100)^2</f>
        <v>17.912132789452027</v>
      </c>
      <c r="L59" t="str">
        <f t="shared" si="2"/>
        <v>Underweight</v>
      </c>
      <c r="M59" t="str">
        <f t="shared" si="3"/>
        <v>37-48 months</v>
      </c>
    </row>
    <row r="60" spans="1:13" x14ac:dyDescent="0.35">
      <c r="A60" t="s">
        <v>75</v>
      </c>
      <c r="B60">
        <v>59</v>
      </c>
      <c r="C60" t="s">
        <v>19</v>
      </c>
      <c r="D60">
        <v>110.75</v>
      </c>
      <c r="E60">
        <v>24.56</v>
      </c>
      <c r="F60">
        <v>4</v>
      </c>
      <c r="G60">
        <v>4</v>
      </c>
      <c r="H60">
        <v>1</v>
      </c>
      <c r="I60">
        <v>1.7</v>
      </c>
      <c r="J60" t="s">
        <v>12</v>
      </c>
      <c r="K60" s="1">
        <f>Child_Health_Data[[#This Row],[Weight_kg]]/(Child_Health_Data[[#This Row],[Height_cm]]/100)^2</f>
        <v>20.023541521230683</v>
      </c>
      <c r="L60" t="str">
        <f t="shared" si="2"/>
        <v>Healthy Weight</v>
      </c>
      <c r="M60" t="str">
        <f t="shared" si="3"/>
        <v>49-60 months</v>
      </c>
    </row>
    <row r="61" spans="1:13" x14ac:dyDescent="0.35">
      <c r="A61" t="s">
        <v>76</v>
      </c>
      <c r="B61">
        <v>56</v>
      </c>
      <c r="C61" t="s">
        <v>19</v>
      </c>
      <c r="D61">
        <v>108</v>
      </c>
      <c r="E61">
        <v>22.24</v>
      </c>
      <c r="F61">
        <v>2</v>
      </c>
      <c r="G61">
        <v>4</v>
      </c>
      <c r="H61">
        <v>2</v>
      </c>
      <c r="I61">
        <v>1.1000000000000001</v>
      </c>
      <c r="J61" t="s">
        <v>14</v>
      </c>
      <c r="K61" s="1">
        <f>Child_Health_Data[[#This Row],[Weight_kg]]/(Child_Health_Data[[#This Row],[Height_cm]]/100)^2</f>
        <v>19.067215363511657</v>
      </c>
      <c r="L61" t="str">
        <f t="shared" si="2"/>
        <v>Healthy Weight</v>
      </c>
      <c r="M61" t="str">
        <f t="shared" si="3"/>
        <v>49-60 months</v>
      </c>
    </row>
    <row r="62" spans="1:13" x14ac:dyDescent="0.35">
      <c r="A62" t="s">
        <v>77</v>
      </c>
      <c r="B62">
        <v>32</v>
      </c>
      <c r="C62" t="s">
        <v>11</v>
      </c>
      <c r="D62">
        <v>98.63</v>
      </c>
      <c r="E62">
        <v>17.96</v>
      </c>
      <c r="F62">
        <v>0</v>
      </c>
      <c r="G62">
        <v>0</v>
      </c>
      <c r="H62">
        <v>2</v>
      </c>
      <c r="I62">
        <v>2.6</v>
      </c>
      <c r="J62" t="s">
        <v>24</v>
      </c>
      <c r="K62" s="1">
        <f>Child_Health_Data[[#This Row],[Weight_kg]]/(Child_Health_Data[[#This Row],[Height_cm]]/100)^2</f>
        <v>18.462404679483562</v>
      </c>
      <c r="L62" t="str">
        <f t="shared" si="2"/>
        <v>Underweight</v>
      </c>
      <c r="M62" t="str">
        <f t="shared" si="3"/>
        <v>25-36 months</v>
      </c>
    </row>
    <row r="63" spans="1:13" x14ac:dyDescent="0.35">
      <c r="A63" t="s">
        <v>78</v>
      </c>
      <c r="B63">
        <v>47</v>
      </c>
      <c r="C63" t="s">
        <v>11</v>
      </c>
      <c r="D63">
        <v>103.57</v>
      </c>
      <c r="E63">
        <v>22.13</v>
      </c>
      <c r="F63">
        <v>3</v>
      </c>
      <c r="G63">
        <v>2</v>
      </c>
      <c r="H63">
        <v>0</v>
      </c>
      <c r="I63">
        <v>0.6</v>
      </c>
      <c r="J63" t="s">
        <v>12</v>
      </c>
      <c r="K63" s="1">
        <f>Child_Health_Data[[#This Row],[Weight_kg]]/(Child_Health_Data[[#This Row],[Height_cm]]/100)^2</f>
        <v>20.630676133633052</v>
      </c>
      <c r="L63" t="str">
        <f t="shared" si="2"/>
        <v>Healthy Weight</v>
      </c>
      <c r="M63" t="str">
        <f t="shared" si="3"/>
        <v>37-48 months</v>
      </c>
    </row>
    <row r="64" spans="1:13" x14ac:dyDescent="0.35">
      <c r="A64" t="s">
        <v>79</v>
      </c>
      <c r="B64">
        <v>28</v>
      </c>
      <c r="C64" t="s">
        <v>19</v>
      </c>
      <c r="D64">
        <v>92.72</v>
      </c>
      <c r="E64">
        <v>15.7</v>
      </c>
      <c r="F64">
        <v>4</v>
      </c>
      <c r="G64">
        <v>0</v>
      </c>
      <c r="H64">
        <v>1</v>
      </c>
      <c r="I64">
        <v>0.5</v>
      </c>
      <c r="J64" t="s">
        <v>24</v>
      </c>
      <c r="K64" s="1">
        <f>Child_Health_Data[[#This Row],[Weight_kg]]/(Child_Health_Data[[#This Row],[Height_cm]]/100)^2</f>
        <v>18.26218788176115</v>
      </c>
      <c r="L64" t="str">
        <f t="shared" si="2"/>
        <v>Underweight</v>
      </c>
      <c r="M64" t="str">
        <f t="shared" si="3"/>
        <v>25-36 months</v>
      </c>
    </row>
    <row r="65" spans="1:13" x14ac:dyDescent="0.35">
      <c r="A65" t="s">
        <v>80</v>
      </c>
      <c r="B65">
        <v>56</v>
      </c>
      <c r="C65" t="s">
        <v>19</v>
      </c>
      <c r="D65">
        <v>113.3</v>
      </c>
      <c r="E65">
        <v>20.45</v>
      </c>
      <c r="F65">
        <v>2</v>
      </c>
      <c r="G65">
        <v>2</v>
      </c>
      <c r="H65">
        <v>2</v>
      </c>
      <c r="I65">
        <v>0.5</v>
      </c>
      <c r="J65" t="s">
        <v>27</v>
      </c>
      <c r="K65" s="1">
        <f>Child_Health_Data[[#This Row],[Weight_kg]]/(Child_Health_Data[[#This Row],[Height_cm]]/100)^2</f>
        <v>15.930649869244029</v>
      </c>
      <c r="L65" t="str">
        <f t="shared" si="2"/>
        <v>Underweight</v>
      </c>
      <c r="M65" t="str">
        <f t="shared" si="3"/>
        <v>49-60 months</v>
      </c>
    </row>
    <row r="66" spans="1:13" x14ac:dyDescent="0.35">
      <c r="A66" t="s">
        <v>81</v>
      </c>
      <c r="B66">
        <v>38</v>
      </c>
      <c r="C66" t="s">
        <v>19</v>
      </c>
      <c r="D66">
        <v>104.84</v>
      </c>
      <c r="E66">
        <v>19.829999999999998</v>
      </c>
      <c r="F66">
        <v>4</v>
      </c>
      <c r="G66">
        <v>0</v>
      </c>
      <c r="H66">
        <v>0</v>
      </c>
      <c r="I66">
        <v>0.8</v>
      </c>
      <c r="J66" t="s">
        <v>24</v>
      </c>
      <c r="K66" s="1">
        <f>Child_Health_Data[[#This Row],[Weight_kg]]/(Child_Health_Data[[#This Row],[Height_cm]]/100)^2</f>
        <v>18.041335784504604</v>
      </c>
      <c r="L66" t="str">
        <f t="shared" ref="L66:L97" si="4">IF(K66&lt;18.5,"Underweight",IF(K66&lt;=24.9,"Healthy Weight",IF(K66&lt;=29.9,"Overweight","Obese")))</f>
        <v>Underweight</v>
      </c>
      <c r="M66" t="str">
        <f t="shared" ref="M66:M101" si="5">IF(B66&lt;=24,"0-24 months",IF(B66&lt;=36,"25-36 months",IF(B66&lt;=48,"37-48 months",IF(B66&lt;=60,"49-60 months","61+ months"))))</f>
        <v>37-48 months</v>
      </c>
    </row>
    <row r="67" spans="1:13" x14ac:dyDescent="0.35">
      <c r="A67" t="s">
        <v>82</v>
      </c>
      <c r="B67">
        <v>50</v>
      </c>
      <c r="C67" t="s">
        <v>11</v>
      </c>
      <c r="D67">
        <v>104.56</v>
      </c>
      <c r="E67">
        <v>21.62</v>
      </c>
      <c r="F67">
        <v>4</v>
      </c>
      <c r="G67">
        <v>1</v>
      </c>
      <c r="H67">
        <v>1</v>
      </c>
      <c r="I67">
        <v>2</v>
      </c>
      <c r="J67" t="s">
        <v>12</v>
      </c>
      <c r="K67" s="1">
        <f>Child_Health_Data[[#This Row],[Weight_kg]]/(Child_Health_Data[[#This Row],[Height_cm]]/100)^2</f>
        <v>19.775366471749727</v>
      </c>
      <c r="L67" t="str">
        <f t="shared" si="4"/>
        <v>Healthy Weight</v>
      </c>
      <c r="M67" t="str">
        <f t="shared" si="5"/>
        <v>49-60 months</v>
      </c>
    </row>
    <row r="68" spans="1:13" x14ac:dyDescent="0.35">
      <c r="A68" t="s">
        <v>83</v>
      </c>
      <c r="B68">
        <v>27</v>
      </c>
      <c r="C68" t="s">
        <v>19</v>
      </c>
      <c r="D68">
        <v>97.32</v>
      </c>
      <c r="E68">
        <v>16.28</v>
      </c>
      <c r="F68">
        <v>2</v>
      </c>
      <c r="G68">
        <v>4</v>
      </c>
      <c r="H68">
        <v>0</v>
      </c>
      <c r="I68">
        <v>0.8</v>
      </c>
      <c r="J68" t="s">
        <v>12</v>
      </c>
      <c r="K68" s="1">
        <f>Child_Health_Data[[#This Row],[Weight_kg]]/(Child_Health_Data[[#This Row],[Height_cm]]/100)^2</f>
        <v>17.188983711262917</v>
      </c>
      <c r="L68" t="str">
        <f t="shared" si="4"/>
        <v>Underweight</v>
      </c>
      <c r="M68" t="str">
        <f t="shared" si="5"/>
        <v>25-36 months</v>
      </c>
    </row>
    <row r="69" spans="1:13" x14ac:dyDescent="0.35">
      <c r="A69" t="s">
        <v>84</v>
      </c>
      <c r="B69">
        <v>32</v>
      </c>
      <c r="C69" t="s">
        <v>11</v>
      </c>
      <c r="D69">
        <v>103.58</v>
      </c>
      <c r="E69">
        <v>15.12</v>
      </c>
      <c r="F69">
        <v>4</v>
      </c>
      <c r="G69">
        <v>0</v>
      </c>
      <c r="H69">
        <v>2</v>
      </c>
      <c r="I69">
        <v>1.8</v>
      </c>
      <c r="J69" t="s">
        <v>20</v>
      </c>
      <c r="K69" s="1">
        <f>Child_Health_Data[[#This Row],[Weight_kg]]/(Child_Health_Data[[#This Row],[Height_cm]]/100)^2</f>
        <v>14.092887263873765</v>
      </c>
      <c r="L69" t="str">
        <f t="shared" si="4"/>
        <v>Underweight</v>
      </c>
      <c r="M69" t="str">
        <f t="shared" si="5"/>
        <v>25-36 months</v>
      </c>
    </row>
    <row r="70" spans="1:13" x14ac:dyDescent="0.35">
      <c r="A70" t="s">
        <v>85</v>
      </c>
      <c r="B70">
        <v>53</v>
      </c>
      <c r="C70" t="s">
        <v>19</v>
      </c>
      <c r="D70">
        <v>105.92</v>
      </c>
      <c r="E70">
        <v>22.98</v>
      </c>
      <c r="F70">
        <v>2</v>
      </c>
      <c r="G70">
        <v>0</v>
      </c>
      <c r="H70">
        <v>0</v>
      </c>
      <c r="I70">
        <v>0.8</v>
      </c>
      <c r="J70" t="s">
        <v>27</v>
      </c>
      <c r="K70" s="1">
        <f>Child_Health_Data[[#This Row],[Weight_kg]]/(Child_Health_Data[[#This Row],[Height_cm]]/100)^2</f>
        <v>20.483024296966988</v>
      </c>
      <c r="L70" t="str">
        <f t="shared" si="4"/>
        <v>Healthy Weight</v>
      </c>
      <c r="M70" t="str">
        <f t="shared" si="5"/>
        <v>49-60 months</v>
      </c>
    </row>
    <row r="71" spans="1:13" x14ac:dyDescent="0.35">
      <c r="A71" t="s">
        <v>86</v>
      </c>
      <c r="B71">
        <v>33</v>
      </c>
      <c r="C71" t="s">
        <v>19</v>
      </c>
      <c r="D71">
        <v>104.76</v>
      </c>
      <c r="E71">
        <v>13.89</v>
      </c>
      <c r="F71">
        <v>3</v>
      </c>
      <c r="G71">
        <v>4</v>
      </c>
      <c r="H71">
        <v>0</v>
      </c>
      <c r="I71">
        <v>0.5</v>
      </c>
      <c r="J71" t="s">
        <v>20</v>
      </c>
      <c r="K71" s="1">
        <f>Child_Health_Data[[#This Row],[Weight_kg]]/(Child_Health_Data[[#This Row],[Height_cm]]/100)^2</f>
        <v>12.656431304061822</v>
      </c>
      <c r="L71" t="str">
        <f t="shared" si="4"/>
        <v>Underweight</v>
      </c>
      <c r="M71" t="str">
        <f t="shared" si="5"/>
        <v>25-36 months</v>
      </c>
    </row>
    <row r="72" spans="1:13" x14ac:dyDescent="0.35">
      <c r="A72" t="s">
        <v>87</v>
      </c>
      <c r="B72">
        <v>49</v>
      </c>
      <c r="C72" t="s">
        <v>19</v>
      </c>
      <c r="D72">
        <v>108.22</v>
      </c>
      <c r="E72">
        <v>19.55</v>
      </c>
      <c r="F72">
        <v>1</v>
      </c>
      <c r="G72">
        <v>1</v>
      </c>
      <c r="H72">
        <v>2</v>
      </c>
      <c r="I72">
        <v>1.6</v>
      </c>
      <c r="J72" t="s">
        <v>20</v>
      </c>
      <c r="K72" s="1">
        <f>Child_Health_Data[[#This Row],[Weight_kg]]/(Child_Health_Data[[#This Row],[Height_cm]]/100)^2</f>
        <v>16.692896572247317</v>
      </c>
      <c r="L72" t="str">
        <f t="shared" si="4"/>
        <v>Underweight</v>
      </c>
      <c r="M72" t="str">
        <f t="shared" si="5"/>
        <v>49-60 months</v>
      </c>
    </row>
    <row r="73" spans="1:13" x14ac:dyDescent="0.35">
      <c r="A73" t="s">
        <v>88</v>
      </c>
      <c r="B73">
        <v>32</v>
      </c>
      <c r="C73" t="s">
        <v>11</v>
      </c>
      <c r="D73">
        <v>97.69</v>
      </c>
      <c r="E73">
        <v>18.04</v>
      </c>
      <c r="F73">
        <v>3</v>
      </c>
      <c r="G73">
        <v>2</v>
      </c>
      <c r="H73">
        <v>2</v>
      </c>
      <c r="I73">
        <v>2.2000000000000002</v>
      </c>
      <c r="J73" t="s">
        <v>12</v>
      </c>
      <c r="K73" s="1">
        <f>Child_Health_Data[[#This Row],[Weight_kg]]/(Child_Health_Data[[#This Row],[Height_cm]]/100)^2</f>
        <v>18.903242860743426</v>
      </c>
      <c r="L73" t="str">
        <f t="shared" si="4"/>
        <v>Healthy Weight</v>
      </c>
      <c r="M73" t="str">
        <f t="shared" si="5"/>
        <v>25-36 months</v>
      </c>
    </row>
    <row r="74" spans="1:13" x14ac:dyDescent="0.35">
      <c r="A74" t="s">
        <v>89</v>
      </c>
      <c r="B74">
        <v>52</v>
      </c>
      <c r="C74" t="s">
        <v>11</v>
      </c>
      <c r="D74">
        <v>104.99</v>
      </c>
      <c r="E74">
        <v>22.77</v>
      </c>
      <c r="F74">
        <v>3</v>
      </c>
      <c r="G74">
        <v>2</v>
      </c>
      <c r="H74">
        <v>1</v>
      </c>
      <c r="I74">
        <v>1.1000000000000001</v>
      </c>
      <c r="J74" t="s">
        <v>14</v>
      </c>
      <c r="K74" s="1">
        <f>Child_Health_Data[[#This Row],[Weight_kg]]/(Child_Health_Data[[#This Row],[Height_cm]]/100)^2</f>
        <v>20.656995702972939</v>
      </c>
      <c r="L74" t="str">
        <f t="shared" si="4"/>
        <v>Healthy Weight</v>
      </c>
      <c r="M74" t="str">
        <f t="shared" si="5"/>
        <v>49-60 months</v>
      </c>
    </row>
    <row r="75" spans="1:13" x14ac:dyDescent="0.35">
      <c r="A75" t="s">
        <v>90</v>
      </c>
      <c r="B75">
        <v>25</v>
      </c>
      <c r="C75" t="s">
        <v>19</v>
      </c>
      <c r="D75">
        <v>88.93</v>
      </c>
      <c r="E75">
        <v>15.5</v>
      </c>
      <c r="F75">
        <v>3</v>
      </c>
      <c r="G75">
        <v>0</v>
      </c>
      <c r="H75">
        <v>3</v>
      </c>
      <c r="I75">
        <v>3.8</v>
      </c>
      <c r="J75" t="s">
        <v>14</v>
      </c>
      <c r="K75" s="1">
        <f>Child_Health_Data[[#This Row],[Weight_kg]]/(Child_Health_Data[[#This Row],[Height_cm]]/100)^2</f>
        <v>19.59905418252098</v>
      </c>
      <c r="L75" t="str">
        <f t="shared" si="4"/>
        <v>Healthy Weight</v>
      </c>
      <c r="M75" t="str">
        <f t="shared" si="5"/>
        <v>25-36 months</v>
      </c>
    </row>
    <row r="76" spans="1:13" x14ac:dyDescent="0.35">
      <c r="A76" t="s">
        <v>91</v>
      </c>
      <c r="B76">
        <v>41</v>
      </c>
      <c r="C76" t="s">
        <v>11</v>
      </c>
      <c r="D76">
        <v>105.5</v>
      </c>
      <c r="E76">
        <v>20.18</v>
      </c>
      <c r="F76">
        <v>1</v>
      </c>
      <c r="G76">
        <v>4</v>
      </c>
      <c r="H76">
        <v>3</v>
      </c>
      <c r="I76">
        <v>1.9</v>
      </c>
      <c r="J76" t="s">
        <v>24</v>
      </c>
      <c r="K76" s="1">
        <f>Child_Health_Data[[#This Row],[Weight_kg]]/(Child_Health_Data[[#This Row],[Height_cm]]/100)^2</f>
        <v>18.130769749107163</v>
      </c>
      <c r="L76" t="str">
        <f t="shared" si="4"/>
        <v>Underweight</v>
      </c>
      <c r="M76" t="str">
        <f t="shared" si="5"/>
        <v>37-48 months</v>
      </c>
    </row>
    <row r="77" spans="1:13" x14ac:dyDescent="0.35">
      <c r="A77" t="s">
        <v>92</v>
      </c>
      <c r="B77">
        <v>38</v>
      </c>
      <c r="C77" t="s">
        <v>19</v>
      </c>
      <c r="D77">
        <v>101.47</v>
      </c>
      <c r="E77">
        <v>15.96</v>
      </c>
      <c r="F77">
        <v>1</v>
      </c>
      <c r="G77">
        <v>1</v>
      </c>
      <c r="H77">
        <v>0</v>
      </c>
      <c r="I77">
        <v>0.8</v>
      </c>
      <c r="J77" t="s">
        <v>12</v>
      </c>
      <c r="K77" s="1">
        <f>Child_Health_Data[[#This Row],[Weight_kg]]/(Child_Health_Data[[#This Row],[Height_cm]]/100)^2</f>
        <v>15.500923261601326</v>
      </c>
      <c r="L77" t="str">
        <f t="shared" si="4"/>
        <v>Underweight</v>
      </c>
      <c r="M77" t="str">
        <f t="shared" si="5"/>
        <v>37-48 months</v>
      </c>
    </row>
    <row r="78" spans="1:13" x14ac:dyDescent="0.35">
      <c r="A78" t="s">
        <v>93</v>
      </c>
      <c r="B78">
        <v>46</v>
      </c>
      <c r="C78" t="s">
        <v>19</v>
      </c>
      <c r="D78">
        <v>103.84</v>
      </c>
      <c r="E78">
        <v>17.13</v>
      </c>
      <c r="F78">
        <v>0</v>
      </c>
      <c r="G78">
        <v>4</v>
      </c>
      <c r="H78">
        <v>1</v>
      </c>
      <c r="I78">
        <v>0.7</v>
      </c>
      <c r="J78" t="s">
        <v>20</v>
      </c>
      <c r="K78" s="1">
        <f>Child_Health_Data[[#This Row],[Weight_kg]]/(Child_Health_Data[[#This Row],[Height_cm]]/100)^2</f>
        <v>15.886491841187462</v>
      </c>
      <c r="L78" t="str">
        <f t="shared" si="4"/>
        <v>Underweight</v>
      </c>
      <c r="M78" t="str">
        <f t="shared" si="5"/>
        <v>37-48 months</v>
      </c>
    </row>
    <row r="79" spans="1:13" x14ac:dyDescent="0.35">
      <c r="A79" t="s">
        <v>94</v>
      </c>
      <c r="B79">
        <v>45</v>
      </c>
      <c r="C79" t="s">
        <v>19</v>
      </c>
      <c r="D79">
        <v>103.74</v>
      </c>
      <c r="E79">
        <v>18.21</v>
      </c>
      <c r="F79">
        <v>1</v>
      </c>
      <c r="G79">
        <v>3</v>
      </c>
      <c r="H79">
        <v>0</v>
      </c>
      <c r="I79">
        <v>0.5</v>
      </c>
      <c r="J79" t="s">
        <v>20</v>
      </c>
      <c r="K79" s="1">
        <f>Child_Health_Data[[#This Row],[Weight_kg]]/(Child_Health_Data[[#This Row],[Height_cm]]/100)^2</f>
        <v>16.920666215969256</v>
      </c>
      <c r="L79" t="str">
        <f t="shared" si="4"/>
        <v>Underweight</v>
      </c>
      <c r="M79" t="str">
        <f t="shared" si="5"/>
        <v>37-48 months</v>
      </c>
    </row>
    <row r="80" spans="1:13" x14ac:dyDescent="0.35">
      <c r="A80" t="s">
        <v>95</v>
      </c>
      <c r="B80">
        <v>48</v>
      </c>
      <c r="C80" t="s">
        <v>19</v>
      </c>
      <c r="D80">
        <v>101.32</v>
      </c>
      <c r="E80">
        <v>21.93</v>
      </c>
      <c r="F80">
        <v>4</v>
      </c>
      <c r="G80">
        <v>2</v>
      </c>
      <c r="H80">
        <v>2</v>
      </c>
      <c r="I80">
        <v>2.8</v>
      </c>
      <c r="J80" t="s">
        <v>14</v>
      </c>
      <c r="K80" s="1">
        <f>Child_Health_Data[[#This Row],[Weight_kg]]/(Child_Health_Data[[#This Row],[Height_cm]]/100)^2</f>
        <v>21.36231277340449</v>
      </c>
      <c r="L80" t="str">
        <f t="shared" si="4"/>
        <v>Healthy Weight</v>
      </c>
      <c r="M80" t="str">
        <f t="shared" si="5"/>
        <v>37-48 months</v>
      </c>
    </row>
    <row r="81" spans="1:13" x14ac:dyDescent="0.35">
      <c r="A81" t="s">
        <v>96</v>
      </c>
      <c r="B81">
        <v>54</v>
      </c>
      <c r="C81" t="s">
        <v>11</v>
      </c>
      <c r="D81">
        <v>109.83</v>
      </c>
      <c r="E81">
        <v>21.35</v>
      </c>
      <c r="F81">
        <v>3</v>
      </c>
      <c r="G81">
        <v>2</v>
      </c>
      <c r="H81">
        <v>1</v>
      </c>
      <c r="I81">
        <v>0.7</v>
      </c>
      <c r="J81" t="s">
        <v>24</v>
      </c>
      <c r="K81" s="1">
        <f>Child_Health_Data[[#This Row],[Weight_kg]]/(Child_Health_Data[[#This Row],[Height_cm]]/100)^2</f>
        <v>17.699292730459444</v>
      </c>
      <c r="L81" t="str">
        <f t="shared" si="4"/>
        <v>Underweight</v>
      </c>
      <c r="M81" t="str">
        <f t="shared" si="5"/>
        <v>49-60 months</v>
      </c>
    </row>
    <row r="82" spans="1:13" x14ac:dyDescent="0.35">
      <c r="A82" t="s">
        <v>97</v>
      </c>
      <c r="B82">
        <v>49</v>
      </c>
      <c r="C82" t="s">
        <v>19</v>
      </c>
      <c r="D82">
        <v>112.98</v>
      </c>
      <c r="E82">
        <v>18.22</v>
      </c>
      <c r="F82">
        <v>3</v>
      </c>
      <c r="G82">
        <v>1</v>
      </c>
      <c r="H82">
        <v>1</v>
      </c>
      <c r="I82">
        <v>1.7</v>
      </c>
      <c r="J82" t="s">
        <v>12</v>
      </c>
      <c r="K82" s="1">
        <f>Child_Health_Data[[#This Row],[Weight_kg]]/(Child_Health_Data[[#This Row],[Height_cm]]/100)^2</f>
        <v>14.273984861929826</v>
      </c>
      <c r="L82" t="str">
        <f t="shared" si="4"/>
        <v>Underweight</v>
      </c>
      <c r="M82" t="str">
        <f t="shared" si="5"/>
        <v>49-60 months</v>
      </c>
    </row>
    <row r="83" spans="1:13" x14ac:dyDescent="0.35">
      <c r="A83" t="s">
        <v>98</v>
      </c>
      <c r="B83">
        <v>45</v>
      </c>
      <c r="C83" t="s">
        <v>11</v>
      </c>
      <c r="D83">
        <v>104.87</v>
      </c>
      <c r="E83">
        <v>19.66</v>
      </c>
      <c r="F83">
        <v>1</v>
      </c>
      <c r="G83">
        <v>4</v>
      </c>
      <c r="H83">
        <v>2</v>
      </c>
      <c r="I83">
        <v>1.1000000000000001</v>
      </c>
      <c r="J83" t="s">
        <v>27</v>
      </c>
      <c r="K83" s="1">
        <f>Child_Health_Data[[#This Row],[Weight_kg]]/(Child_Health_Data[[#This Row],[Height_cm]]/100)^2</f>
        <v>17.876437608609475</v>
      </c>
      <c r="L83" t="str">
        <f t="shared" si="4"/>
        <v>Underweight</v>
      </c>
      <c r="M83" t="str">
        <f t="shared" si="5"/>
        <v>37-48 months</v>
      </c>
    </row>
    <row r="84" spans="1:13" x14ac:dyDescent="0.35">
      <c r="A84" t="s">
        <v>99</v>
      </c>
      <c r="B84">
        <v>30</v>
      </c>
      <c r="C84" t="s">
        <v>19</v>
      </c>
      <c r="D84">
        <v>100.81</v>
      </c>
      <c r="E84">
        <v>14.39</v>
      </c>
      <c r="F84">
        <v>2</v>
      </c>
      <c r="G84">
        <v>4</v>
      </c>
      <c r="H84">
        <v>2</v>
      </c>
      <c r="I84">
        <v>2.6</v>
      </c>
      <c r="J84" t="s">
        <v>12</v>
      </c>
      <c r="K84" s="1">
        <f>Child_Health_Data[[#This Row],[Weight_kg]]/(Child_Health_Data[[#This Row],[Height_cm]]/100)^2</f>
        <v>14.159684100694896</v>
      </c>
      <c r="L84" t="str">
        <f t="shared" si="4"/>
        <v>Underweight</v>
      </c>
      <c r="M84" t="str">
        <f t="shared" si="5"/>
        <v>25-36 months</v>
      </c>
    </row>
    <row r="85" spans="1:13" x14ac:dyDescent="0.35">
      <c r="A85" t="s">
        <v>100</v>
      </c>
      <c r="B85">
        <v>29</v>
      </c>
      <c r="C85" t="s">
        <v>11</v>
      </c>
      <c r="D85">
        <v>101.16</v>
      </c>
      <c r="E85">
        <v>14.14</v>
      </c>
      <c r="F85">
        <v>2</v>
      </c>
      <c r="G85">
        <v>2</v>
      </c>
      <c r="H85">
        <v>3</v>
      </c>
      <c r="I85">
        <v>1.3</v>
      </c>
      <c r="J85" t="s">
        <v>12</v>
      </c>
      <c r="K85" s="1">
        <f>Child_Health_Data[[#This Row],[Weight_kg]]/(Child_Health_Data[[#This Row],[Height_cm]]/100)^2</f>
        <v>13.817573013462967</v>
      </c>
      <c r="L85" t="str">
        <f t="shared" si="4"/>
        <v>Underweight</v>
      </c>
      <c r="M85" t="str">
        <f t="shared" si="5"/>
        <v>25-36 months</v>
      </c>
    </row>
    <row r="86" spans="1:13" x14ac:dyDescent="0.35">
      <c r="A86" t="s">
        <v>101</v>
      </c>
      <c r="B86">
        <v>57</v>
      </c>
      <c r="C86" t="s">
        <v>11</v>
      </c>
      <c r="D86">
        <v>115.19</v>
      </c>
      <c r="E86">
        <v>20.76</v>
      </c>
      <c r="F86">
        <v>1</v>
      </c>
      <c r="G86">
        <v>4</v>
      </c>
      <c r="H86">
        <v>0</v>
      </c>
      <c r="I86">
        <v>1</v>
      </c>
      <c r="J86" t="s">
        <v>12</v>
      </c>
      <c r="K86" s="1">
        <f>Child_Health_Data[[#This Row],[Weight_kg]]/(Child_Health_Data[[#This Row],[Height_cm]]/100)^2</f>
        <v>15.645800657682841</v>
      </c>
      <c r="L86" t="str">
        <f t="shared" si="4"/>
        <v>Underweight</v>
      </c>
      <c r="M86" t="str">
        <f t="shared" si="5"/>
        <v>49-60 months</v>
      </c>
    </row>
    <row r="87" spans="1:13" x14ac:dyDescent="0.35">
      <c r="A87" t="s">
        <v>102</v>
      </c>
      <c r="B87">
        <v>56</v>
      </c>
      <c r="C87" t="s">
        <v>19</v>
      </c>
      <c r="D87">
        <v>110.72</v>
      </c>
      <c r="E87">
        <v>20.149999999999999</v>
      </c>
      <c r="F87">
        <v>0</v>
      </c>
      <c r="G87">
        <v>1</v>
      </c>
      <c r="H87">
        <v>1</v>
      </c>
      <c r="I87">
        <v>2</v>
      </c>
      <c r="J87" t="s">
        <v>27</v>
      </c>
      <c r="K87" s="1">
        <f>Child_Health_Data[[#This Row],[Weight_kg]]/(Child_Health_Data[[#This Row],[Height_cm]]/100)^2</f>
        <v>16.43701290971967</v>
      </c>
      <c r="L87" t="str">
        <f t="shared" si="4"/>
        <v>Underweight</v>
      </c>
      <c r="M87" t="str">
        <f t="shared" si="5"/>
        <v>49-60 months</v>
      </c>
    </row>
    <row r="88" spans="1:13" x14ac:dyDescent="0.35">
      <c r="A88" t="s">
        <v>103</v>
      </c>
      <c r="B88">
        <v>56</v>
      </c>
      <c r="C88" t="s">
        <v>11</v>
      </c>
      <c r="D88">
        <v>106.73</v>
      </c>
      <c r="E88">
        <v>24.09</v>
      </c>
      <c r="F88">
        <v>0</v>
      </c>
      <c r="G88">
        <v>1</v>
      </c>
      <c r="H88">
        <v>3</v>
      </c>
      <c r="I88">
        <v>1.7</v>
      </c>
      <c r="J88" t="s">
        <v>27</v>
      </c>
      <c r="K88" s="1">
        <f>Child_Health_Data[[#This Row],[Weight_kg]]/(Child_Health_Data[[#This Row],[Height_cm]]/100)^2</f>
        <v>21.147731176326783</v>
      </c>
      <c r="L88" t="str">
        <f t="shared" si="4"/>
        <v>Healthy Weight</v>
      </c>
      <c r="M88" t="str">
        <f t="shared" si="5"/>
        <v>49-60 months</v>
      </c>
    </row>
    <row r="89" spans="1:13" x14ac:dyDescent="0.35">
      <c r="A89" t="s">
        <v>104</v>
      </c>
      <c r="B89">
        <v>25</v>
      </c>
      <c r="C89" t="s">
        <v>11</v>
      </c>
      <c r="D89">
        <v>99.72</v>
      </c>
      <c r="E89">
        <v>14.9</v>
      </c>
      <c r="F89">
        <v>4</v>
      </c>
      <c r="G89">
        <v>2</v>
      </c>
      <c r="H89">
        <v>3</v>
      </c>
      <c r="I89">
        <v>2.2000000000000002</v>
      </c>
      <c r="J89" t="s">
        <v>14</v>
      </c>
      <c r="K89" s="1">
        <f>Child_Health_Data[[#This Row],[Weight_kg]]/(Child_Health_Data[[#This Row],[Height_cm]]/100)^2</f>
        <v>14.983791760933824</v>
      </c>
      <c r="L89" t="str">
        <f t="shared" si="4"/>
        <v>Underweight</v>
      </c>
      <c r="M89" t="str">
        <f t="shared" si="5"/>
        <v>25-36 months</v>
      </c>
    </row>
    <row r="90" spans="1:13" x14ac:dyDescent="0.35">
      <c r="A90" t="s">
        <v>105</v>
      </c>
      <c r="B90">
        <v>30</v>
      </c>
      <c r="C90" t="s">
        <v>11</v>
      </c>
      <c r="D90">
        <v>96.45</v>
      </c>
      <c r="E90">
        <v>14.77</v>
      </c>
      <c r="F90">
        <v>4</v>
      </c>
      <c r="G90">
        <v>2</v>
      </c>
      <c r="H90">
        <v>0</v>
      </c>
      <c r="I90">
        <v>0.6</v>
      </c>
      <c r="J90" t="s">
        <v>24</v>
      </c>
      <c r="K90" s="1">
        <f>Child_Health_Data[[#This Row],[Weight_kg]]/(Child_Health_Data[[#This Row],[Height_cm]]/100)^2</f>
        <v>15.877277353299789</v>
      </c>
      <c r="L90" t="str">
        <f t="shared" si="4"/>
        <v>Underweight</v>
      </c>
      <c r="M90" t="str">
        <f t="shared" si="5"/>
        <v>25-36 months</v>
      </c>
    </row>
    <row r="91" spans="1:13" x14ac:dyDescent="0.35">
      <c r="A91" t="s">
        <v>106</v>
      </c>
      <c r="B91">
        <v>53</v>
      </c>
      <c r="C91" t="s">
        <v>19</v>
      </c>
      <c r="D91">
        <v>106.44</v>
      </c>
      <c r="E91">
        <v>20.73</v>
      </c>
      <c r="F91">
        <v>4</v>
      </c>
      <c r="G91">
        <v>3</v>
      </c>
      <c r="H91">
        <v>2</v>
      </c>
      <c r="I91">
        <v>2</v>
      </c>
      <c r="J91" t="s">
        <v>12</v>
      </c>
      <c r="K91" s="1">
        <f>Child_Health_Data[[#This Row],[Weight_kg]]/(Child_Health_Data[[#This Row],[Height_cm]]/100)^2</f>
        <v>18.29740792193558</v>
      </c>
      <c r="L91" t="str">
        <f t="shared" si="4"/>
        <v>Underweight</v>
      </c>
      <c r="M91" t="str">
        <f t="shared" si="5"/>
        <v>49-60 months</v>
      </c>
    </row>
    <row r="92" spans="1:13" x14ac:dyDescent="0.35">
      <c r="A92" t="s">
        <v>107</v>
      </c>
      <c r="B92">
        <v>29</v>
      </c>
      <c r="C92" t="s">
        <v>11</v>
      </c>
      <c r="D92">
        <v>97.77</v>
      </c>
      <c r="E92">
        <v>15.72</v>
      </c>
      <c r="F92">
        <v>2</v>
      </c>
      <c r="G92">
        <v>0</v>
      </c>
      <c r="H92">
        <v>0</v>
      </c>
      <c r="I92">
        <v>0.9</v>
      </c>
      <c r="J92" t="s">
        <v>12</v>
      </c>
      <c r="K92" s="1">
        <f>Child_Health_Data[[#This Row],[Weight_kg]]/(Child_Health_Data[[#This Row],[Height_cm]]/100)^2</f>
        <v>16.445281479979926</v>
      </c>
      <c r="L92" t="str">
        <f t="shared" si="4"/>
        <v>Underweight</v>
      </c>
      <c r="M92" t="str">
        <f t="shared" si="5"/>
        <v>25-36 months</v>
      </c>
    </row>
    <row r="93" spans="1:13" x14ac:dyDescent="0.35">
      <c r="A93" t="s">
        <v>108</v>
      </c>
      <c r="B93">
        <v>58</v>
      </c>
      <c r="C93" t="s">
        <v>19</v>
      </c>
      <c r="D93">
        <v>113.49</v>
      </c>
      <c r="E93">
        <v>25.26</v>
      </c>
      <c r="F93">
        <v>0</v>
      </c>
      <c r="G93">
        <v>4</v>
      </c>
      <c r="H93">
        <v>3</v>
      </c>
      <c r="I93">
        <v>3</v>
      </c>
      <c r="J93" t="s">
        <v>27</v>
      </c>
      <c r="K93" s="1">
        <f>Child_Health_Data[[#This Row],[Weight_kg]]/(Child_Health_Data[[#This Row],[Height_cm]]/100)^2</f>
        <v>19.611831543124822</v>
      </c>
      <c r="L93" t="str">
        <f t="shared" si="4"/>
        <v>Healthy Weight</v>
      </c>
      <c r="M93" t="str">
        <f t="shared" si="5"/>
        <v>49-60 months</v>
      </c>
    </row>
    <row r="94" spans="1:13" x14ac:dyDescent="0.35">
      <c r="A94" t="s">
        <v>109</v>
      </c>
      <c r="B94">
        <v>26</v>
      </c>
      <c r="C94" t="s">
        <v>19</v>
      </c>
      <c r="D94">
        <v>92.08</v>
      </c>
      <c r="E94">
        <v>15.29</v>
      </c>
      <c r="F94">
        <v>4</v>
      </c>
      <c r="G94">
        <v>1</v>
      </c>
      <c r="H94">
        <v>2</v>
      </c>
      <c r="I94">
        <v>2.6</v>
      </c>
      <c r="J94" t="s">
        <v>20</v>
      </c>
      <c r="K94" s="1">
        <f>Child_Health_Data[[#This Row],[Weight_kg]]/(Child_Health_Data[[#This Row],[Height_cm]]/100)^2</f>
        <v>18.033368785198682</v>
      </c>
      <c r="L94" t="str">
        <f t="shared" si="4"/>
        <v>Underweight</v>
      </c>
      <c r="M94" t="str">
        <f t="shared" si="5"/>
        <v>25-36 months</v>
      </c>
    </row>
    <row r="95" spans="1:13" x14ac:dyDescent="0.35">
      <c r="A95" t="s">
        <v>110</v>
      </c>
      <c r="B95">
        <v>25</v>
      </c>
      <c r="C95" t="s">
        <v>11</v>
      </c>
      <c r="D95">
        <v>96.42</v>
      </c>
      <c r="E95">
        <v>15.34</v>
      </c>
      <c r="F95">
        <v>4</v>
      </c>
      <c r="G95">
        <v>3</v>
      </c>
      <c r="H95">
        <v>2</v>
      </c>
      <c r="I95">
        <v>0.9</v>
      </c>
      <c r="J95" t="s">
        <v>20</v>
      </c>
      <c r="K95" s="1">
        <f>Child_Health_Data[[#This Row],[Weight_kg]]/(Child_Health_Data[[#This Row],[Height_cm]]/100)^2</f>
        <v>16.500272071630885</v>
      </c>
      <c r="L95" t="str">
        <f t="shared" si="4"/>
        <v>Underweight</v>
      </c>
      <c r="M95" t="str">
        <f t="shared" si="5"/>
        <v>25-36 months</v>
      </c>
    </row>
    <row r="96" spans="1:13" x14ac:dyDescent="0.35">
      <c r="A96" t="s">
        <v>111</v>
      </c>
      <c r="B96">
        <v>59</v>
      </c>
      <c r="C96" t="s">
        <v>11</v>
      </c>
      <c r="D96">
        <v>108.1</v>
      </c>
      <c r="E96">
        <v>19.25</v>
      </c>
      <c r="F96">
        <v>1</v>
      </c>
      <c r="G96">
        <v>0</v>
      </c>
      <c r="H96">
        <v>1</v>
      </c>
      <c r="I96">
        <v>1</v>
      </c>
      <c r="J96" t="s">
        <v>12</v>
      </c>
      <c r="K96" s="1">
        <f>Child_Health_Data[[#This Row],[Weight_kg]]/(Child_Health_Data[[#This Row],[Height_cm]]/100)^2</f>
        <v>16.47325214515973</v>
      </c>
      <c r="L96" t="str">
        <f t="shared" si="4"/>
        <v>Underweight</v>
      </c>
      <c r="M96" t="str">
        <f t="shared" si="5"/>
        <v>49-60 months</v>
      </c>
    </row>
    <row r="97" spans="1:13" x14ac:dyDescent="0.35">
      <c r="A97" t="s">
        <v>112</v>
      </c>
      <c r="B97">
        <v>50</v>
      </c>
      <c r="C97" t="s">
        <v>11</v>
      </c>
      <c r="D97">
        <v>109.15</v>
      </c>
      <c r="E97">
        <v>22.09</v>
      </c>
      <c r="F97">
        <v>1</v>
      </c>
      <c r="G97">
        <v>4</v>
      </c>
      <c r="H97">
        <v>0</v>
      </c>
      <c r="I97">
        <v>0.6</v>
      </c>
      <c r="J97" t="s">
        <v>14</v>
      </c>
      <c r="K97" s="1">
        <f>Child_Health_Data[[#This Row],[Weight_kg]]/(Child_Health_Data[[#This Row],[Height_cm]]/100)^2</f>
        <v>18.541643890060385</v>
      </c>
      <c r="L97" t="str">
        <f t="shared" si="4"/>
        <v>Healthy Weight</v>
      </c>
      <c r="M97" t="str">
        <f t="shared" si="5"/>
        <v>49-60 months</v>
      </c>
    </row>
    <row r="98" spans="1:13" x14ac:dyDescent="0.35">
      <c r="A98" t="s">
        <v>113</v>
      </c>
      <c r="B98">
        <v>48</v>
      </c>
      <c r="C98" t="s">
        <v>19</v>
      </c>
      <c r="D98">
        <v>107.71</v>
      </c>
      <c r="E98">
        <v>19.079999999999998</v>
      </c>
      <c r="F98">
        <v>0</v>
      </c>
      <c r="G98">
        <v>2</v>
      </c>
      <c r="H98">
        <v>2</v>
      </c>
      <c r="I98">
        <v>1.8</v>
      </c>
      <c r="J98" t="s">
        <v>20</v>
      </c>
      <c r="K98" s="1">
        <f>Child_Health_Data[[#This Row],[Weight_kg]]/(Child_Health_Data[[#This Row],[Height_cm]]/100)^2</f>
        <v>16.446228448404973</v>
      </c>
      <c r="L98" t="str">
        <f t="shared" ref="L98:L101" si="6">IF(K98&lt;18.5,"Underweight",IF(K98&lt;=24.9,"Healthy Weight",IF(K98&lt;=29.9,"Overweight","Obese")))</f>
        <v>Underweight</v>
      </c>
      <c r="M98" t="str">
        <f t="shared" si="5"/>
        <v>37-48 months</v>
      </c>
    </row>
    <row r="99" spans="1:13" x14ac:dyDescent="0.35">
      <c r="A99" t="s">
        <v>114</v>
      </c>
      <c r="B99">
        <v>57</v>
      </c>
      <c r="C99" t="s">
        <v>19</v>
      </c>
      <c r="D99">
        <v>112.41</v>
      </c>
      <c r="E99">
        <v>21.55</v>
      </c>
      <c r="F99">
        <v>2</v>
      </c>
      <c r="G99">
        <v>4</v>
      </c>
      <c r="H99">
        <v>0</v>
      </c>
      <c r="I99">
        <v>0.9</v>
      </c>
      <c r="J99" t="s">
        <v>12</v>
      </c>
      <c r="K99" s="1">
        <f>Child_Health_Data[[#This Row],[Weight_kg]]/(Child_Health_Data[[#This Row],[Height_cm]]/100)^2</f>
        <v>17.054436677671966</v>
      </c>
      <c r="L99" t="str">
        <f t="shared" si="6"/>
        <v>Underweight</v>
      </c>
      <c r="M99" t="str">
        <f t="shared" si="5"/>
        <v>49-60 months</v>
      </c>
    </row>
    <row r="100" spans="1:13" x14ac:dyDescent="0.35">
      <c r="A100" t="s">
        <v>115</v>
      </c>
      <c r="B100">
        <v>45</v>
      </c>
      <c r="C100" t="s">
        <v>19</v>
      </c>
      <c r="D100">
        <v>110.12</v>
      </c>
      <c r="E100">
        <v>18.510000000000002</v>
      </c>
      <c r="F100">
        <v>0</v>
      </c>
      <c r="G100">
        <v>2</v>
      </c>
      <c r="H100">
        <v>0</v>
      </c>
      <c r="I100">
        <v>0.9</v>
      </c>
      <c r="J100" t="s">
        <v>24</v>
      </c>
      <c r="K100" s="1">
        <f>Child_Health_Data[[#This Row],[Weight_kg]]/(Child_Health_Data[[#This Row],[Height_cm]]/100)^2</f>
        <v>15.264198789050129</v>
      </c>
      <c r="L100" t="str">
        <f t="shared" si="6"/>
        <v>Underweight</v>
      </c>
      <c r="M100" t="str">
        <f t="shared" si="5"/>
        <v>37-48 months</v>
      </c>
    </row>
    <row r="101" spans="1:13" x14ac:dyDescent="0.35">
      <c r="A101" t="s">
        <v>116</v>
      </c>
      <c r="B101">
        <v>49</v>
      </c>
      <c r="C101" t="s">
        <v>19</v>
      </c>
      <c r="D101">
        <v>106.6</v>
      </c>
      <c r="E101">
        <v>21.21</v>
      </c>
      <c r="F101">
        <v>0</v>
      </c>
      <c r="G101">
        <v>0</v>
      </c>
      <c r="H101">
        <v>2</v>
      </c>
      <c r="I101">
        <v>2.5</v>
      </c>
      <c r="J101" t="s">
        <v>24</v>
      </c>
      <c r="K101" s="1">
        <f>Child_Health_Data[[#This Row],[Weight_kg]]/(Child_Health_Data[[#This Row],[Height_cm]]/100)^2</f>
        <v>18.664925428298883</v>
      </c>
      <c r="L101" t="str">
        <f t="shared" si="6"/>
        <v>Healthy Weight</v>
      </c>
      <c r="M101" t="str">
        <f t="shared" si="5"/>
        <v>49-60 months</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293A2-60E5-4B2D-B27D-57B3DCC9270C}">
  <dimension ref="A1:F8"/>
  <sheetViews>
    <sheetView workbookViewId="0">
      <selection activeCell="G10" sqref="G10"/>
    </sheetView>
  </sheetViews>
  <sheetFormatPr defaultRowHeight="14.5" x14ac:dyDescent="0.35"/>
  <cols>
    <col min="1" max="1" width="14.25" bestFit="1" customWidth="1"/>
    <col min="2" max="2" width="14.6640625" bestFit="1" customWidth="1"/>
    <col min="3" max="3" width="11.25" bestFit="1" customWidth="1"/>
    <col min="4" max="4" width="10.6640625" bestFit="1" customWidth="1"/>
    <col min="7" max="7" width="12.83203125" customWidth="1"/>
    <col min="8" max="8" width="14.33203125" bestFit="1" customWidth="1"/>
    <col min="9" max="12" width="4.9140625" bestFit="1" customWidth="1"/>
    <col min="13" max="13" width="9.5" bestFit="1" customWidth="1"/>
  </cols>
  <sheetData>
    <row r="1" spans="1:6" x14ac:dyDescent="0.35">
      <c r="B1" s="14" t="s">
        <v>135</v>
      </c>
      <c r="C1" s="15"/>
      <c r="D1" s="15"/>
      <c r="E1" s="15"/>
      <c r="F1" s="15"/>
    </row>
    <row r="2" spans="1:6" x14ac:dyDescent="0.35">
      <c r="B2" s="15"/>
      <c r="C2" s="15"/>
      <c r="D2" s="15"/>
      <c r="E2" s="15"/>
      <c r="F2" s="15"/>
    </row>
    <row r="3" spans="1:6" x14ac:dyDescent="0.35">
      <c r="A3" s="3" t="s">
        <v>120</v>
      </c>
      <c r="B3" s="3" t="s">
        <v>121</v>
      </c>
    </row>
    <row r="4" spans="1:6" x14ac:dyDescent="0.35">
      <c r="A4" s="3" t="s">
        <v>125</v>
      </c>
      <c r="B4" t="s">
        <v>122</v>
      </c>
      <c r="C4" t="s">
        <v>123</v>
      </c>
      <c r="D4" t="s">
        <v>124</v>
      </c>
    </row>
    <row r="5" spans="1:6" x14ac:dyDescent="0.35">
      <c r="A5" s="4" t="s">
        <v>126</v>
      </c>
      <c r="B5">
        <v>6</v>
      </c>
      <c r="C5">
        <v>33</v>
      </c>
      <c r="D5">
        <v>39</v>
      </c>
    </row>
    <row r="6" spans="1:6" x14ac:dyDescent="0.35">
      <c r="A6" s="4" t="s">
        <v>127</v>
      </c>
      <c r="B6">
        <v>8</v>
      </c>
      <c r="C6">
        <v>22</v>
      </c>
      <c r="D6">
        <v>30</v>
      </c>
    </row>
    <row r="7" spans="1:6" x14ac:dyDescent="0.35">
      <c r="A7" s="4" t="s">
        <v>128</v>
      </c>
      <c r="B7">
        <v>10</v>
      </c>
      <c r="C7">
        <v>21</v>
      </c>
      <c r="D7">
        <v>31</v>
      </c>
    </row>
    <row r="8" spans="1:6" x14ac:dyDescent="0.35">
      <c r="A8" s="4" t="s">
        <v>124</v>
      </c>
      <c r="B8">
        <v>24</v>
      </c>
      <c r="C8">
        <v>76</v>
      </c>
      <c r="D8">
        <v>100</v>
      </c>
    </row>
  </sheetData>
  <mergeCells count="1">
    <mergeCell ref="B1:F2"/>
  </mergeCell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6F577-65E1-46F2-9122-BC147BBF9163}">
  <dimension ref="A3:N29"/>
  <sheetViews>
    <sheetView workbookViewId="0">
      <selection activeCell="H13" sqref="H13"/>
    </sheetView>
  </sheetViews>
  <sheetFormatPr defaultRowHeight="14.5" x14ac:dyDescent="0.35"/>
  <cols>
    <col min="1" max="1" width="13.75" bestFit="1" customWidth="1"/>
    <col min="2" max="2" width="15.4140625" bestFit="1" customWidth="1"/>
    <col min="3" max="6" width="5.9140625" bestFit="1" customWidth="1"/>
    <col min="7" max="7" width="11" bestFit="1" customWidth="1"/>
    <col min="13" max="13" width="12.58203125" bestFit="1" customWidth="1"/>
    <col min="14" max="14" width="13.75" bestFit="1" customWidth="1"/>
  </cols>
  <sheetData>
    <row r="3" spans="1:7" x14ac:dyDescent="0.35">
      <c r="A3" s="3" t="s">
        <v>129</v>
      </c>
      <c r="B3" s="3" t="s">
        <v>121</v>
      </c>
    </row>
    <row r="4" spans="1:7" x14ac:dyDescent="0.35">
      <c r="A4" s="3" t="s">
        <v>125</v>
      </c>
      <c r="B4">
        <v>0</v>
      </c>
      <c r="C4">
        <v>1</v>
      </c>
      <c r="D4">
        <v>2</v>
      </c>
      <c r="E4">
        <v>3</v>
      </c>
      <c r="F4">
        <v>4</v>
      </c>
      <c r="G4" t="s">
        <v>124</v>
      </c>
    </row>
    <row r="5" spans="1:7" x14ac:dyDescent="0.35">
      <c r="A5" s="4">
        <v>0</v>
      </c>
      <c r="B5" s="1">
        <v>19.016420427584645</v>
      </c>
      <c r="C5" s="1">
        <v>17.280117596560103</v>
      </c>
      <c r="D5" s="1">
        <v>16.27305047255906</v>
      </c>
      <c r="E5" s="1">
        <v>17.104134635526798</v>
      </c>
      <c r="F5" s="1">
        <v>18.137073212360072</v>
      </c>
      <c r="G5" s="1">
        <v>17.566529534524921</v>
      </c>
    </row>
    <row r="6" spans="1:7" x14ac:dyDescent="0.35">
      <c r="A6" s="4">
        <v>1</v>
      </c>
      <c r="B6" s="1">
        <v>16.35248862763348</v>
      </c>
      <c r="C6" s="1">
        <v>16.201722814253078</v>
      </c>
      <c r="D6" s="1">
        <v>17.145357431721354</v>
      </c>
      <c r="E6" s="1">
        <v>15.486892118792989</v>
      </c>
      <c r="F6" s="1">
        <v>17.548662976364966</v>
      </c>
      <c r="G6" s="1">
        <v>16.468003433538151</v>
      </c>
    </row>
    <row r="7" spans="1:7" x14ac:dyDescent="0.35">
      <c r="A7" s="4">
        <v>2</v>
      </c>
      <c r="B7" s="1">
        <v>18.304030863042058</v>
      </c>
      <c r="C7" s="1">
        <v>13.414804870225169</v>
      </c>
      <c r="D7" s="1">
        <v>17.219114471226323</v>
      </c>
      <c r="E7" s="1"/>
      <c r="F7" s="1">
        <v>17.104693630968079</v>
      </c>
      <c r="G7" s="1">
        <v>16.87382757410969</v>
      </c>
    </row>
    <row r="8" spans="1:7" x14ac:dyDescent="0.35">
      <c r="A8" s="4">
        <v>3</v>
      </c>
      <c r="B8" s="1">
        <v>18.791232347431109</v>
      </c>
      <c r="C8" s="1">
        <v>15.547827345547695</v>
      </c>
      <c r="D8" s="1">
        <v>18.37904051788599</v>
      </c>
      <c r="E8" s="1">
        <v>19.105850849662808</v>
      </c>
      <c r="F8" s="1">
        <v>15.747317770125974</v>
      </c>
      <c r="G8" s="1">
        <v>17.50835442521058</v>
      </c>
    </row>
    <row r="9" spans="1:7" x14ac:dyDescent="0.35">
      <c r="A9" s="4">
        <v>4</v>
      </c>
      <c r="B9" s="1">
        <v>17.326942725016981</v>
      </c>
      <c r="C9" s="1">
        <v>16.827714126941665</v>
      </c>
      <c r="D9" s="1">
        <v>16.79563742079436</v>
      </c>
      <c r="E9" s="1">
        <v>16.427913820241738</v>
      </c>
      <c r="F9" s="1">
        <v>20.023541521230683</v>
      </c>
      <c r="G9" s="1">
        <v>17.004575438549672</v>
      </c>
    </row>
    <row r="10" spans="1:7" x14ac:dyDescent="0.35">
      <c r="A10" s="4" t="s">
        <v>124</v>
      </c>
      <c r="B10" s="1">
        <v>17.801185141707748</v>
      </c>
      <c r="C10" s="1">
        <v>16.198132313610472</v>
      </c>
      <c r="D10" s="1">
        <v>17.352645060732396</v>
      </c>
      <c r="E10" s="1">
        <v>16.453644797937383</v>
      </c>
      <c r="F10" s="1">
        <v>17.160526114957836</v>
      </c>
      <c r="G10" s="1">
        <v>17.058049606125383</v>
      </c>
    </row>
    <row r="23" spans="13:14" x14ac:dyDescent="0.35">
      <c r="M23" s="3" t="s">
        <v>125</v>
      </c>
      <c r="N23" t="s">
        <v>129</v>
      </c>
    </row>
    <row r="24" spans="13:14" x14ac:dyDescent="0.35">
      <c r="M24" s="4" t="s">
        <v>14</v>
      </c>
      <c r="N24" s="1">
        <v>17.280514841003029</v>
      </c>
    </row>
    <row r="25" spans="13:14" x14ac:dyDescent="0.35">
      <c r="M25" s="4" t="s">
        <v>20</v>
      </c>
      <c r="N25" s="1">
        <v>16.371172019628016</v>
      </c>
    </row>
    <row r="26" spans="13:14" x14ac:dyDescent="0.35">
      <c r="M26" s="4" t="s">
        <v>24</v>
      </c>
      <c r="N26" s="1">
        <v>16.789441132947946</v>
      </c>
    </row>
    <row r="27" spans="13:14" x14ac:dyDescent="0.35">
      <c r="M27" s="4" t="s">
        <v>12</v>
      </c>
      <c r="N27" s="1">
        <v>17.188810268120474</v>
      </c>
    </row>
    <row r="28" spans="13:14" x14ac:dyDescent="0.35">
      <c r="M28" s="4" t="s">
        <v>27</v>
      </c>
      <c r="N28" s="1">
        <v>17.912368815419139</v>
      </c>
    </row>
    <row r="29" spans="13:14" x14ac:dyDescent="0.35">
      <c r="M29" s="4" t="s">
        <v>124</v>
      </c>
      <c r="N29" s="1">
        <v>17.058049606125373</v>
      </c>
    </row>
  </sheetData>
  <conditionalFormatting sqref="A3:G4 A5:A10">
    <cfRule type="colorScale" priority="6">
      <colorScale>
        <cfvo type="min"/>
        <cfvo type="percentile" val="50"/>
        <cfvo type="max"/>
        <color rgb="FF63BE7B"/>
        <color rgb="FFFFEB84"/>
        <color rgb="FFF8696B"/>
      </colorScale>
    </cfRule>
  </conditionalFormatting>
  <conditionalFormatting pivot="1" sqref="B5:B9">
    <cfRule type="colorScale" priority="5">
      <colorScale>
        <cfvo type="min"/>
        <cfvo type="percentile" val="50"/>
        <cfvo type="max"/>
        <color rgb="FF63BE7B"/>
        <color rgb="FFFFEB84"/>
        <color rgb="FFF8696B"/>
      </colorScale>
    </cfRule>
  </conditionalFormatting>
  <conditionalFormatting pivot="1" sqref="C5:C9">
    <cfRule type="colorScale" priority="4">
      <colorScale>
        <cfvo type="min"/>
        <cfvo type="percentile" val="50"/>
        <cfvo type="max"/>
        <color rgb="FF63BE7B"/>
        <color rgb="FFFFEB84"/>
        <color rgb="FFF8696B"/>
      </colorScale>
    </cfRule>
  </conditionalFormatting>
  <conditionalFormatting pivot="1" sqref="D5:D9">
    <cfRule type="colorScale" priority="3">
      <colorScale>
        <cfvo type="min"/>
        <cfvo type="percentile" val="50"/>
        <cfvo type="max"/>
        <color rgb="FF63BE7B"/>
        <color rgb="FFFFEB84"/>
        <color rgb="FFF8696B"/>
      </colorScale>
    </cfRule>
  </conditionalFormatting>
  <conditionalFormatting pivot="1" sqref="E5:E9">
    <cfRule type="colorScale" priority="2">
      <colorScale>
        <cfvo type="min"/>
        <cfvo type="percentile" val="50"/>
        <cfvo type="max"/>
        <color rgb="FF63BE7B"/>
        <color rgb="FFFFEB84"/>
        <color rgb="FFF8696B"/>
      </colorScale>
    </cfRule>
  </conditionalFormatting>
  <conditionalFormatting pivot="1" sqref="F5:F9">
    <cfRule type="colorScale" priority="1">
      <colorScale>
        <cfvo type="min"/>
        <cfvo type="percentile" val="50"/>
        <cfvo type="max"/>
        <color rgb="FF63BE7B"/>
        <color rgb="FFFFEB84"/>
        <color rgb="FFF8696B"/>
      </colorScale>
    </cfRule>
  </conditionalFormatting>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ACB6D-3FFE-4EEE-BFD2-FB3AB0E64BAF}">
  <dimension ref="B2:D9"/>
  <sheetViews>
    <sheetView workbookViewId="0">
      <selection activeCell="J8" sqref="J8"/>
    </sheetView>
  </sheetViews>
  <sheetFormatPr defaultRowHeight="14.5" x14ac:dyDescent="0.35"/>
  <cols>
    <col min="1" max="1" width="12" bestFit="1" customWidth="1"/>
    <col min="2" max="2" width="13.5" bestFit="1" customWidth="1"/>
    <col min="3" max="3" width="27.5" bestFit="1" customWidth="1"/>
    <col min="4" max="4" width="27.1640625" bestFit="1" customWidth="1"/>
  </cols>
  <sheetData>
    <row r="2" spans="2:4" x14ac:dyDescent="0.35">
      <c r="B2" s="16" t="s">
        <v>136</v>
      </c>
      <c r="C2" s="17"/>
      <c r="D2" s="17"/>
    </row>
    <row r="3" spans="2:4" x14ac:dyDescent="0.35">
      <c r="B3" s="17"/>
      <c r="C3" s="17"/>
      <c r="D3" s="17"/>
    </row>
    <row r="6" spans="2:4" x14ac:dyDescent="0.35">
      <c r="B6" s="3" t="s">
        <v>125</v>
      </c>
      <c r="C6" t="s">
        <v>131</v>
      </c>
      <c r="D6" t="s">
        <v>130</v>
      </c>
    </row>
    <row r="7" spans="2:4" x14ac:dyDescent="0.35">
      <c r="B7" s="4" t="s">
        <v>122</v>
      </c>
      <c r="C7" s="1">
        <v>1.5833333333333333</v>
      </c>
      <c r="D7" s="1">
        <v>1.6875000000000002</v>
      </c>
    </row>
    <row r="8" spans="2:4" x14ac:dyDescent="0.35">
      <c r="B8" s="4" t="s">
        <v>123</v>
      </c>
      <c r="C8" s="1">
        <v>1.3026315789473684</v>
      </c>
      <c r="D8" s="1">
        <v>1.2986842105263157</v>
      </c>
    </row>
    <row r="9" spans="2:4" x14ac:dyDescent="0.35">
      <c r="B9" s="4" t="s">
        <v>124</v>
      </c>
      <c r="C9">
        <v>1.37</v>
      </c>
      <c r="D9" s="1">
        <v>1.3919999999999999</v>
      </c>
    </row>
  </sheetData>
  <mergeCells count="1">
    <mergeCell ref="B2:D3"/>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05923-4BAB-4DB8-BD65-838FF9C71046}">
  <dimension ref="A1:M11"/>
  <sheetViews>
    <sheetView workbookViewId="0">
      <selection activeCell="A4" sqref="A1:E9"/>
    </sheetView>
  </sheetViews>
  <sheetFormatPr defaultRowHeight="14.5" x14ac:dyDescent="0.35"/>
  <cols>
    <col min="1" max="1" width="12.58203125" bestFit="1" customWidth="1"/>
    <col min="2" max="2" width="13.75" bestFit="1" customWidth="1"/>
    <col min="3" max="3" width="27.1640625" bestFit="1" customWidth="1"/>
    <col min="4" max="4" width="27.5" bestFit="1" customWidth="1"/>
    <col min="5" max="5" width="30.4140625" bestFit="1" customWidth="1"/>
  </cols>
  <sheetData>
    <row r="1" spans="1:13" x14ac:dyDescent="0.35">
      <c r="C1" s="18" t="s">
        <v>133</v>
      </c>
      <c r="D1" s="19"/>
      <c r="E1" s="19"/>
    </row>
    <row r="2" spans="1:13" x14ac:dyDescent="0.35">
      <c r="C2" s="19"/>
      <c r="D2" s="19"/>
      <c r="E2" s="19"/>
    </row>
    <row r="3" spans="1:13" x14ac:dyDescent="0.35">
      <c r="A3" s="3" t="s">
        <v>125</v>
      </c>
      <c r="B3" t="s">
        <v>129</v>
      </c>
      <c r="C3" t="s">
        <v>130</v>
      </c>
      <c r="D3" t="s">
        <v>131</v>
      </c>
      <c r="E3" t="s">
        <v>132</v>
      </c>
    </row>
    <row r="4" spans="1:13" x14ac:dyDescent="0.35">
      <c r="A4" s="4" t="s">
        <v>14</v>
      </c>
      <c r="B4" s="1">
        <v>17.280514841003029</v>
      </c>
      <c r="C4" s="1">
        <v>1.529166666666667</v>
      </c>
      <c r="D4" s="1">
        <v>1.5</v>
      </c>
      <c r="E4">
        <v>2</v>
      </c>
      <c r="M4" cm="1">
        <f t="array" aca="1" ref="M4" ca="1">+M4:OM44:U4:RM44</f>
        <v>0</v>
      </c>
    </row>
    <row r="5" spans="1:13" x14ac:dyDescent="0.35">
      <c r="A5" s="4" t="s">
        <v>20</v>
      </c>
      <c r="B5" s="1">
        <v>16.371172019628016</v>
      </c>
      <c r="C5" s="1">
        <v>1.4238095238095241</v>
      </c>
      <c r="D5" s="1">
        <v>1.5714285714285714</v>
      </c>
      <c r="E5" s="2">
        <v>1.9047619047619047</v>
      </c>
    </row>
    <row r="6" spans="1:13" x14ac:dyDescent="0.35">
      <c r="A6" s="4" t="s">
        <v>24</v>
      </c>
      <c r="B6" s="1">
        <v>16.789441132947946</v>
      </c>
      <c r="C6" s="1">
        <v>1.1882352941176471</v>
      </c>
      <c r="D6" s="1">
        <v>1.3529411764705883</v>
      </c>
      <c r="E6" s="2">
        <v>1.3529411764705883</v>
      </c>
    </row>
    <row r="7" spans="1:13" x14ac:dyDescent="0.35">
      <c r="A7" s="4" t="s">
        <v>12</v>
      </c>
      <c r="B7" s="1">
        <v>17.188810268120474</v>
      </c>
      <c r="C7" s="1">
        <v>1.3923076923076925</v>
      </c>
      <c r="D7" s="1">
        <v>1.1923076923076923</v>
      </c>
      <c r="E7" s="2">
        <v>2.0769230769230771</v>
      </c>
    </row>
    <row r="8" spans="1:13" x14ac:dyDescent="0.35">
      <c r="A8" s="4" t="s">
        <v>27</v>
      </c>
      <c r="B8" s="1">
        <v>17.912368815419139</v>
      </c>
      <c r="C8" s="1">
        <v>1.3499999999999999</v>
      </c>
      <c r="D8" s="1">
        <v>1.1666666666666667</v>
      </c>
      <c r="E8" s="2">
        <v>2.0833333333333335</v>
      </c>
    </row>
    <row r="9" spans="1:13" x14ac:dyDescent="0.35">
      <c r="A9" s="4" t="s">
        <v>124</v>
      </c>
      <c r="B9" s="1">
        <v>17.058049606125373</v>
      </c>
      <c r="C9" s="1">
        <v>1.3919999999999999</v>
      </c>
      <c r="D9" s="1">
        <v>1.37</v>
      </c>
      <c r="E9">
        <v>1.9</v>
      </c>
    </row>
    <row r="11" spans="1:13" x14ac:dyDescent="0.35">
      <c r="C11" s="15" t="s">
        <v>134</v>
      </c>
      <c r="D11" s="15"/>
      <c r="E11" s="15"/>
    </row>
  </sheetData>
  <mergeCells count="2">
    <mergeCell ref="C1:E2"/>
    <mergeCell ref="C11:E11"/>
  </mergeCells>
  <conditionalFormatting sqref="B3">
    <cfRule type="colorScale" priority="5">
      <colorScale>
        <cfvo type="min"/>
        <cfvo type="percentile" val="50"/>
        <cfvo type="max"/>
        <color rgb="FFF8696B"/>
        <color rgb="FFFCFCFF"/>
        <color rgb="FF5A8AC6"/>
      </colorScale>
    </cfRule>
  </conditionalFormatting>
  <conditionalFormatting pivot="1" sqref="B4:B8">
    <cfRule type="colorScale" priority="4">
      <colorScale>
        <cfvo type="min"/>
        <cfvo type="percentile" val="50"/>
        <cfvo type="max"/>
        <color rgb="FF63BE7B"/>
        <color rgb="FFFFEB84"/>
        <color rgb="FFF8696B"/>
      </colorScale>
    </cfRule>
  </conditionalFormatting>
  <conditionalFormatting pivot="1" sqref="C4:C8">
    <cfRule type="colorScale" priority="3">
      <colorScale>
        <cfvo type="min"/>
        <cfvo type="percentile" val="50"/>
        <cfvo type="max"/>
        <color rgb="FF63BE7B"/>
        <color rgb="FFFFEB84"/>
        <color rgb="FFF8696B"/>
      </colorScale>
    </cfRule>
  </conditionalFormatting>
  <conditionalFormatting pivot="1" sqref="D4:D8">
    <cfRule type="colorScale" priority="2">
      <colorScale>
        <cfvo type="min"/>
        <cfvo type="percentile" val="50"/>
        <cfvo type="max"/>
        <color rgb="FF63BE7B"/>
        <color rgb="FFFFEB84"/>
        <color rgb="FFF8696B"/>
      </colorScale>
    </cfRule>
  </conditionalFormatting>
  <conditionalFormatting pivot="1" sqref="E4:E8">
    <cfRule type="colorScale" priority="1">
      <colorScale>
        <cfvo type="min"/>
        <cfvo type="percentile" val="50"/>
        <cfvo type="max"/>
        <color rgb="FF63BE7B"/>
        <color rgb="FFFFEB84"/>
        <color rgb="FFF8696B"/>
      </colorScale>
    </cfRule>
  </conditionalFormatting>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6F365-CA01-4FCB-B63A-7885A4667E56}">
  <dimension ref="B1:Q7"/>
  <sheetViews>
    <sheetView tabSelected="1" workbookViewId="0">
      <selection activeCell="L10" sqref="L10"/>
    </sheetView>
  </sheetViews>
  <sheetFormatPr defaultRowHeight="14.5" x14ac:dyDescent="0.35"/>
  <sheetData>
    <row r="1" spans="2:17" x14ac:dyDescent="0.35">
      <c r="B1" s="5" t="s">
        <v>137</v>
      </c>
      <c r="C1" s="6"/>
      <c r="D1" s="6"/>
      <c r="E1" s="6"/>
      <c r="F1" s="6"/>
      <c r="G1" s="6"/>
      <c r="H1" s="6"/>
      <c r="I1" s="6"/>
      <c r="J1" s="6"/>
      <c r="K1" s="6"/>
      <c r="L1" s="6"/>
      <c r="M1" s="6"/>
      <c r="N1" s="6"/>
      <c r="O1" s="6"/>
      <c r="P1" s="6"/>
      <c r="Q1" s="6"/>
    </row>
    <row r="2" spans="2:17" x14ac:dyDescent="0.35">
      <c r="B2" s="6"/>
      <c r="C2" s="6"/>
      <c r="D2" s="6"/>
      <c r="E2" s="6"/>
      <c r="F2" s="6"/>
      <c r="G2" s="6"/>
      <c r="H2" s="6"/>
      <c r="I2" s="6"/>
      <c r="J2" s="6"/>
      <c r="K2" s="6"/>
      <c r="L2" s="6"/>
      <c r="M2" s="6"/>
      <c r="N2" s="6"/>
      <c r="O2" s="6"/>
      <c r="P2" s="6"/>
      <c r="Q2" s="6"/>
    </row>
    <row r="3" spans="2:17" x14ac:dyDescent="0.35">
      <c r="B3" s="6"/>
      <c r="C3" s="6"/>
      <c r="D3" s="6"/>
      <c r="E3" s="6"/>
      <c r="F3" s="6"/>
      <c r="G3" s="6"/>
      <c r="H3" s="6"/>
      <c r="I3" s="6"/>
      <c r="J3" s="6"/>
      <c r="K3" s="6"/>
      <c r="L3" s="6"/>
      <c r="M3" s="6"/>
      <c r="N3" s="6"/>
      <c r="O3" s="6"/>
      <c r="P3" s="6"/>
      <c r="Q3" s="6"/>
    </row>
    <row r="5" spans="2:17" x14ac:dyDescent="0.35">
      <c r="B5" s="7" t="s">
        <v>138</v>
      </c>
      <c r="C5" s="7"/>
      <c r="E5" s="9" t="s">
        <v>139</v>
      </c>
      <c r="F5" s="9"/>
      <c r="G5" s="9"/>
      <c r="I5" s="10" t="s">
        <v>140</v>
      </c>
      <c r="J5" s="10"/>
      <c r="K5" s="10"/>
      <c r="M5" s="12" t="s">
        <v>141</v>
      </c>
      <c r="N5" s="12"/>
    </row>
    <row r="6" spans="2:17" x14ac:dyDescent="0.35">
      <c r="B6" s="8">
        <v>100</v>
      </c>
      <c r="C6" s="8"/>
      <c r="E6" s="8">
        <v>17.059999999999999</v>
      </c>
      <c r="F6" s="8"/>
      <c r="G6" s="8"/>
      <c r="I6" s="11">
        <v>0.24</v>
      </c>
      <c r="J6" s="8"/>
      <c r="K6" s="8"/>
      <c r="M6" s="13">
        <v>0</v>
      </c>
      <c r="N6" s="8"/>
    </row>
    <row r="7" spans="2:17" x14ac:dyDescent="0.35">
      <c r="B7" s="8"/>
      <c r="C7" s="8"/>
      <c r="E7" s="8"/>
      <c r="F7" s="8"/>
      <c r="G7" s="8"/>
      <c r="I7" s="8"/>
      <c r="J7" s="8"/>
      <c r="K7" s="8"/>
      <c r="M7" s="8"/>
      <c r="N7" s="8"/>
    </row>
  </sheetData>
  <mergeCells count="9">
    <mergeCell ref="B1:Q3"/>
    <mergeCell ref="B5:C5"/>
    <mergeCell ref="B6:C7"/>
    <mergeCell ref="E5:G5"/>
    <mergeCell ref="E6:G7"/>
    <mergeCell ref="I5:K5"/>
    <mergeCell ref="I6:K7"/>
    <mergeCell ref="M5:N5"/>
    <mergeCell ref="M6:N7"/>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9852876-EE52-473F-8D81-02F7A6B0659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Child_Health_Data</vt:lpstr>
      <vt:lpstr>Health Status by Age Group</vt:lpstr>
      <vt:lpstr>Nutrition Intake vs BMI</vt:lpstr>
      <vt:lpstr>Sugar Screen Analysis</vt:lpstr>
      <vt:lpstr>Regional comparison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Satya Akshintala</dc:creator>
  <cp:lastModifiedBy>Satya Akshintala</cp:lastModifiedBy>
  <dcterms:created xsi:type="dcterms:W3CDTF">2026-03-18T18:04:20Z</dcterms:created>
  <dcterms:modified xsi:type="dcterms:W3CDTF">2026-03-18T20:02:45Z</dcterms:modified>
</cp:coreProperties>
</file>